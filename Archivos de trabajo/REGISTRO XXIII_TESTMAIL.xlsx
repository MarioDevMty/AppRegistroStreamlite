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balderrabano\Desktop\DSNMS\AppRegistroStreamlite\Archivos de trabajo\"/>
    </mc:Choice>
  </mc:AlternateContent>
  <bookViews>
    <workbookView xWindow="0" yWindow="0" windowWidth="20490" windowHeight="7755"/>
  </bookViews>
  <sheets>
    <sheet name="Respuestas de formulario 1" sheetId="1" r:id="rId1"/>
    <sheet name="Hoja 1" sheetId="2" r:id="rId2"/>
    <sheet name="Hoja 2" sheetId="3" r:id="rId3"/>
    <sheet name="Hoja1" sheetId="4" r:id="rId4"/>
  </sheets>
  <definedNames>
    <definedName name="_xlnm._FilterDatabase" localSheetId="0" hidden="1">'Respuestas de formulario 1'!$A$1:$AU$51</definedName>
  </definedNames>
  <calcPr calcId="152511"/>
</workbook>
</file>

<file path=xl/calcChain.xml><?xml version="1.0" encoding="utf-8"?>
<calcChain xmlns="http://schemas.openxmlformats.org/spreadsheetml/2006/main">
  <c r="C4" i="2" l="1"/>
  <c r="C3" i="2"/>
  <c r="C2" i="2"/>
  <c r="C5" i="2" l="1"/>
</calcChain>
</file>

<file path=xl/sharedStrings.xml><?xml version="1.0" encoding="utf-8"?>
<sst xmlns="http://schemas.openxmlformats.org/spreadsheetml/2006/main" count="740" uniqueCount="469">
  <si>
    <t>Marca temporal</t>
  </si>
  <si>
    <t>Escuela preparatoria</t>
  </si>
  <si>
    <t>Nombre Escuela Incorporada</t>
  </si>
  <si>
    <t>Nombre del equipo</t>
  </si>
  <si>
    <t>Categoría a participar</t>
  </si>
  <si>
    <t>Nombre(s)</t>
  </si>
  <si>
    <t>Apellido paterno</t>
  </si>
  <si>
    <t>Apellido materno</t>
  </si>
  <si>
    <t>Teléfono celular</t>
  </si>
  <si>
    <t>Correo institucional</t>
  </si>
  <si>
    <t xml:space="preserve">Matrícula </t>
  </si>
  <si>
    <t>Apellido paterno 2</t>
  </si>
  <si>
    <t>Apellido materno 2</t>
  </si>
  <si>
    <t>Nombre(s) 2</t>
  </si>
  <si>
    <t>Semestre</t>
  </si>
  <si>
    <t>Fecha de nacimiento</t>
  </si>
  <si>
    <t>Correo electrónico</t>
  </si>
  <si>
    <t>Matrícula  2</t>
  </si>
  <si>
    <t>Apellido paterno 3</t>
  </si>
  <si>
    <t>Apellido materno 3</t>
  </si>
  <si>
    <t>Nombre(s) 3</t>
  </si>
  <si>
    <t>Semestre 2</t>
  </si>
  <si>
    <t>Fecha de nacimiento 2</t>
  </si>
  <si>
    <t>Correo electrónico 2</t>
  </si>
  <si>
    <t>Matrícula  3</t>
  </si>
  <si>
    <t>Apellido paterno 4</t>
  </si>
  <si>
    <t>Apellido materno 4</t>
  </si>
  <si>
    <t>Nombre(s) 4</t>
  </si>
  <si>
    <t>Semestre 3</t>
  </si>
  <si>
    <t>Fecha de nacimiento 3</t>
  </si>
  <si>
    <t>Correo electrónico 3</t>
  </si>
  <si>
    <t>Matrícula  4</t>
  </si>
  <si>
    <t>Apellido paterno 5</t>
  </si>
  <si>
    <t>Apellido materno 5</t>
  </si>
  <si>
    <t>Nombre(s) 5</t>
  </si>
  <si>
    <t>Semestre 4</t>
  </si>
  <si>
    <t>Fecha de nacimiento 4</t>
  </si>
  <si>
    <t>Correo electrónico 4</t>
  </si>
  <si>
    <t>Participas en categoría escenario (ONSTAGE)</t>
  </si>
  <si>
    <t>Matrícula  5</t>
  </si>
  <si>
    <t>Apellido paterno 6</t>
  </si>
  <si>
    <t>Apellido materno 6</t>
  </si>
  <si>
    <t>Nombre(s) 6</t>
  </si>
  <si>
    <t>Semestre 5</t>
  </si>
  <si>
    <t>Fecha de nacimiento 5</t>
  </si>
  <si>
    <t>Correo electrónico 5</t>
  </si>
  <si>
    <t>Oficio firmado por el/la director(a) de la Preparatoria</t>
  </si>
  <si>
    <t>Laberinto</t>
  </si>
  <si>
    <t xml:space="preserve">Jorge Iván </t>
  </si>
  <si>
    <t>Guerrero</t>
  </si>
  <si>
    <t>Gonzalez</t>
  </si>
  <si>
    <t>Villarreal</t>
  </si>
  <si>
    <t>Cuarto</t>
  </si>
  <si>
    <t xml:space="preserve">Rodríguez </t>
  </si>
  <si>
    <t>No</t>
  </si>
  <si>
    <t>Escenario</t>
  </si>
  <si>
    <t>Gustavo Adrián</t>
  </si>
  <si>
    <t>González</t>
  </si>
  <si>
    <t>Rodríguez</t>
  </si>
  <si>
    <t>Segundo</t>
  </si>
  <si>
    <t>Si</t>
  </si>
  <si>
    <t>Esquivel</t>
  </si>
  <si>
    <t>Nora Lizeth</t>
  </si>
  <si>
    <t xml:space="preserve">Figueroa </t>
  </si>
  <si>
    <t>Dávila</t>
  </si>
  <si>
    <t>Martínez</t>
  </si>
  <si>
    <t>Garcia</t>
  </si>
  <si>
    <t>Flores</t>
  </si>
  <si>
    <t>Figueroa</t>
  </si>
  <si>
    <t xml:space="preserve">González </t>
  </si>
  <si>
    <t>Ibarra</t>
  </si>
  <si>
    <t>Línea</t>
  </si>
  <si>
    <t>Arturo Jonathan</t>
  </si>
  <si>
    <t>Mancilla</t>
  </si>
  <si>
    <t>Lizama</t>
  </si>
  <si>
    <t>Lozano</t>
  </si>
  <si>
    <t>Reyes</t>
  </si>
  <si>
    <t>Preparatoria 16</t>
  </si>
  <si>
    <t>Los Tores</t>
  </si>
  <si>
    <t xml:space="preserve"> Leonardo Yahir</t>
  </si>
  <si>
    <t xml:space="preserve">Salas </t>
  </si>
  <si>
    <t>Cardona</t>
  </si>
  <si>
    <t>leonardo.salascrdn@uanl.edu.mx</t>
  </si>
  <si>
    <t>Ruiz</t>
  </si>
  <si>
    <t xml:space="preserve"> Perez </t>
  </si>
  <si>
    <t>José Andre</t>
  </si>
  <si>
    <t>jose.ruizp@uanl.edu.mx</t>
  </si>
  <si>
    <t xml:space="preserve">Reyna </t>
  </si>
  <si>
    <t xml:space="preserve"> Solis </t>
  </si>
  <si>
    <t>Miguel Angel</t>
  </si>
  <si>
    <t>miguel.reynas@uanl.edu.mx</t>
  </si>
  <si>
    <t xml:space="preserve">Jauregui </t>
  </si>
  <si>
    <t xml:space="preserve">Mendiola </t>
  </si>
  <si>
    <t>Santiago</t>
  </si>
  <si>
    <t>santiago.jaureguim@uanl.edu.mx</t>
  </si>
  <si>
    <t xml:space="preserve">Amaro </t>
  </si>
  <si>
    <t>Elizondo</t>
  </si>
  <si>
    <t xml:space="preserve"> Emiliano</t>
  </si>
  <si>
    <t>emiliano.amaroe@uanl.edu.mx</t>
  </si>
  <si>
    <t>https://drive.google.com/open?id=1ek5fUQt-CYuO36lkiR4SaBPkO2gAlsb3</t>
  </si>
  <si>
    <t>Mechanical Bulls</t>
  </si>
  <si>
    <t xml:space="preserve">Peña </t>
  </si>
  <si>
    <t xml:space="preserve">Vazquez </t>
  </si>
  <si>
    <t>Pablo Alejandro</t>
  </si>
  <si>
    <t>pablo.penav@uanl.edu.mx</t>
  </si>
  <si>
    <t xml:space="preserve">Lopez </t>
  </si>
  <si>
    <t xml:space="preserve">Cardona </t>
  </si>
  <si>
    <t>Kaleb Zuriel</t>
  </si>
  <si>
    <t>kaleb.lopezc@uanl.edu.mx</t>
  </si>
  <si>
    <t xml:space="preserve">Ortiz </t>
  </si>
  <si>
    <t>Gutierrez</t>
  </si>
  <si>
    <t xml:space="preserve"> Luis Michel</t>
  </si>
  <si>
    <t>luis.ortizgt@uanl.edu.mx</t>
  </si>
  <si>
    <t xml:space="preserve">Vázquez </t>
  </si>
  <si>
    <t xml:space="preserve">García </t>
  </si>
  <si>
    <t>Karen Itzel</t>
  </si>
  <si>
    <t>karen.vazquezgr@uanl.edu.mx</t>
  </si>
  <si>
    <t>https://drive.google.com/open?id=1TlVWj2eZ_Uji6vt_JvLhRsQAJz0Jr_vj</t>
  </si>
  <si>
    <t>Jesus Armando</t>
  </si>
  <si>
    <t xml:space="preserve">De la Riva </t>
  </si>
  <si>
    <t>Mendoza</t>
  </si>
  <si>
    <t>Torres</t>
  </si>
  <si>
    <t>Rodriguez</t>
  </si>
  <si>
    <t>Lara</t>
  </si>
  <si>
    <t>Preparatoria 23</t>
  </si>
  <si>
    <t>Jesús Daniel</t>
  </si>
  <si>
    <t>García</t>
  </si>
  <si>
    <t>jesus.garciagrc@uanl.edu.mx</t>
  </si>
  <si>
    <t xml:space="preserve">Martinez </t>
  </si>
  <si>
    <t xml:space="preserve">Torres </t>
  </si>
  <si>
    <t xml:space="preserve">Rodriguez </t>
  </si>
  <si>
    <t>Sexto</t>
  </si>
  <si>
    <t>RICARDO DE JESUS</t>
  </si>
  <si>
    <t>RUIZ</t>
  </si>
  <si>
    <t>GOMEZ</t>
  </si>
  <si>
    <t>Silva</t>
  </si>
  <si>
    <t>Erick</t>
  </si>
  <si>
    <t>Sanchez</t>
  </si>
  <si>
    <t>Castro</t>
  </si>
  <si>
    <t>Mechanical Bulls 16</t>
  </si>
  <si>
    <t xml:space="preserve">Careaga </t>
  </si>
  <si>
    <t xml:space="preserve">Delgadillo </t>
  </si>
  <si>
    <t>Carolina</t>
  </si>
  <si>
    <t>carolina.careagad@uanl.edu.mx</t>
  </si>
  <si>
    <t xml:space="preserve">Contreras </t>
  </si>
  <si>
    <t>Joselin</t>
  </si>
  <si>
    <t>josselin.rodriguezc@uanl.edu.mx</t>
  </si>
  <si>
    <t xml:space="preserve">Garza </t>
  </si>
  <si>
    <t xml:space="preserve">Banda </t>
  </si>
  <si>
    <t>Juan Angel</t>
  </si>
  <si>
    <t>angel.garzabn@uanl.edu.mx</t>
  </si>
  <si>
    <t xml:space="preserve">Esparza </t>
  </si>
  <si>
    <t xml:space="preserve">Reyes </t>
  </si>
  <si>
    <t>Aldo Daniel</t>
  </si>
  <si>
    <t>aldo.esparzar@uanl.edu.mx</t>
  </si>
  <si>
    <t xml:space="preserve">Galvan </t>
  </si>
  <si>
    <t>Cesar Alejandro</t>
  </si>
  <si>
    <t>cesar.galvant@uanl.edu.mx</t>
  </si>
  <si>
    <t>https://drive.google.com/open?id=1p6RwoC6SEuZMiyLKSLI6iKOAY_MIxkE7</t>
  </si>
  <si>
    <t>Preparatoria 17</t>
  </si>
  <si>
    <t>Ku-chow</t>
  </si>
  <si>
    <t>Martha Idelia</t>
  </si>
  <si>
    <t>Cárdenas</t>
  </si>
  <si>
    <t>martha.cardenasgr@uanl.edu.mx</t>
  </si>
  <si>
    <t xml:space="preserve"> Garduza </t>
  </si>
  <si>
    <t>Hiomary Lucia</t>
  </si>
  <si>
    <t>hiomary.garduzag@uanl.edu.mx</t>
  </si>
  <si>
    <t xml:space="preserve"> Hernández</t>
  </si>
  <si>
    <t>Hernández</t>
  </si>
  <si>
    <t>Abril</t>
  </si>
  <si>
    <t>abril.hernandezhr@uanl.edu.mx</t>
  </si>
  <si>
    <t>Vázquez</t>
  </si>
  <si>
    <t>Eliud Emanuel</t>
  </si>
  <si>
    <t>eliud.vazquezg@uanl.edu.mx</t>
  </si>
  <si>
    <t>Karla</t>
  </si>
  <si>
    <t>karla.garciahrnn@uanl.edu.mx</t>
  </si>
  <si>
    <t>https://drive.google.com/open?id=1lxjlGtlamGpK4GbJ_7A0HDwWRSresPnp</t>
  </si>
  <si>
    <t>IGNITER17</t>
  </si>
  <si>
    <t>ANA CAROLINA</t>
  </si>
  <si>
    <t>MEDINA</t>
  </si>
  <si>
    <t>ROCHA</t>
  </si>
  <si>
    <t>ana.medinarch@uanl.edu.mx</t>
  </si>
  <si>
    <t xml:space="preserve">Azcona </t>
  </si>
  <si>
    <t xml:space="preserve">Joseph Alessandro </t>
  </si>
  <si>
    <t>joseph.azconac@uanl.edu.mx</t>
  </si>
  <si>
    <t xml:space="preserve">Flores </t>
  </si>
  <si>
    <t xml:space="preserve">Mariana Aime </t>
  </si>
  <si>
    <t>mariana.floresi@uanl.edu.mx</t>
  </si>
  <si>
    <t xml:space="preserve">de la cruz </t>
  </si>
  <si>
    <t xml:space="preserve"> Samuel </t>
  </si>
  <si>
    <t>samuel.martinezdlc@uanl.edu.mx</t>
  </si>
  <si>
    <t>LUNA</t>
  </si>
  <si>
    <t>CRUZ</t>
  </si>
  <si>
    <t>ALEXIS</t>
  </si>
  <si>
    <t>alexis.lunac@uanl.edu.mx</t>
  </si>
  <si>
    <t>https://drive.google.com/open?id=1kj6b9_a9loj9u_2RWHl6WC0jKKVuexb0</t>
  </si>
  <si>
    <t>Preparatoria 2</t>
  </si>
  <si>
    <t>Polaris</t>
  </si>
  <si>
    <t>Laura Gabriela</t>
  </si>
  <si>
    <t>Moreno</t>
  </si>
  <si>
    <t>Salas</t>
  </si>
  <si>
    <t>laura.morenosl@uanl.edu.mx</t>
  </si>
  <si>
    <t>Eguìa</t>
  </si>
  <si>
    <t>Angel Alejandro</t>
  </si>
  <si>
    <t xml:space="preserve"> angel.guerreroe@uanl.edu.mx</t>
  </si>
  <si>
    <t>Sànchez</t>
  </si>
  <si>
    <t>Rubio</t>
  </si>
  <si>
    <t>Dylan</t>
  </si>
  <si>
    <t>dylan.sanchezr@uanl.edu.mx</t>
  </si>
  <si>
    <t>Cantù</t>
  </si>
  <si>
    <t>Bautista</t>
  </si>
  <si>
    <t>Cielo Geraldine</t>
  </si>
  <si>
    <t>cielo.cantub@uanl.edu.mx</t>
  </si>
  <si>
    <t>Juàrez</t>
  </si>
  <si>
    <t>Yesua Santiago</t>
  </si>
  <si>
    <t xml:space="preserve"> yesua.juarezt@uanl.edu.mx</t>
  </si>
  <si>
    <t>https://drive.google.com/open?id=1molIvd0nf_562i5FypG7oLrfjzJCQqu5</t>
  </si>
  <si>
    <t>The Outlaw Bots</t>
  </si>
  <si>
    <t>Garza</t>
  </si>
  <si>
    <t>Chàvez</t>
  </si>
  <si>
    <t>Alexa Abigail</t>
  </si>
  <si>
    <t>alexa.garzac@uanl.edu.mx</t>
  </si>
  <si>
    <t>Espinoza</t>
  </si>
  <si>
    <t>Bayron Daniel</t>
  </si>
  <si>
    <t>bayron.silvae@uanl.edu.mx</t>
  </si>
  <si>
    <t>Cervantes</t>
  </si>
  <si>
    <t>Noriega</t>
  </si>
  <si>
    <t>Natalia</t>
  </si>
  <si>
    <t>natalia.cervantesn@uanl.edu.mx</t>
  </si>
  <si>
    <t>Morales</t>
  </si>
  <si>
    <t>Saucedo</t>
  </si>
  <si>
    <t>Rodrigo</t>
  </si>
  <si>
    <t>rodrigo.moraless@uanl.edu.mx</t>
  </si>
  <si>
    <t xml:space="preserve">Guzmàn </t>
  </si>
  <si>
    <t>Ramìrez</t>
  </si>
  <si>
    <t>Nina Deiri</t>
  </si>
  <si>
    <t>nina.guzmanr@uanl.edu.mx</t>
  </si>
  <si>
    <t>https://drive.google.com/open?id=108K2jbUzqrV-8PG2uSzoGptxZvRwvMNc</t>
  </si>
  <si>
    <t>Boys Building Computers</t>
  </si>
  <si>
    <t>LAURA GABRIELA</t>
  </si>
  <si>
    <t>MORENO</t>
  </si>
  <si>
    <t>SALAS</t>
  </si>
  <si>
    <t>Soto</t>
  </si>
  <si>
    <t>Edwin Said</t>
  </si>
  <si>
    <t>edwin.reyess@uanl.edu.mx</t>
  </si>
  <si>
    <t>Hernàndez</t>
  </si>
  <si>
    <t>Daniel</t>
  </si>
  <si>
    <t>daniel.gutierrezh@uanl.edu.mx</t>
  </si>
  <si>
    <t>Eduardo</t>
  </si>
  <si>
    <t>eduardo.ruizmn@uanl.edu.mx</t>
  </si>
  <si>
    <t xml:space="preserve">Sànchez </t>
  </si>
  <si>
    <t>Dìaz</t>
  </si>
  <si>
    <t>Josè Miguel</t>
  </si>
  <si>
    <t>miguel.sanchezd@uanl.edu.mx</t>
  </si>
  <si>
    <t>https://drive.google.com/open?id=10740ic650v7NRdozQJswoRe5fn6jJVJa</t>
  </si>
  <si>
    <t>Preparatoria 20</t>
  </si>
  <si>
    <t xml:space="preserve">Alpha </t>
  </si>
  <si>
    <t xml:space="preserve">Adolio </t>
  </si>
  <si>
    <t>Sánchez</t>
  </si>
  <si>
    <t>adolio.sanchezvl@uanl.edu.mx</t>
  </si>
  <si>
    <t>Vargas</t>
  </si>
  <si>
    <t>Gallardo</t>
  </si>
  <si>
    <t>Alejandro Benjamín</t>
  </si>
  <si>
    <t>benjamin.vargasg@uanl.edu.mx</t>
  </si>
  <si>
    <t>Del Río</t>
  </si>
  <si>
    <t>Galvan</t>
  </si>
  <si>
    <t>Angel Isaac</t>
  </si>
  <si>
    <t>angel.delg@uanl.edu.mx</t>
  </si>
  <si>
    <t>Arias</t>
  </si>
  <si>
    <t>Hilel Omar</t>
  </si>
  <si>
    <t>hilel.ariasc@uanl.edu.mx</t>
  </si>
  <si>
    <t>Salazar</t>
  </si>
  <si>
    <t>Almaguer</t>
  </si>
  <si>
    <t>Ivanna Zoé</t>
  </si>
  <si>
    <t>ivanna.salazara@uanl.edu.mx</t>
  </si>
  <si>
    <t>https://drive.google.com/open?id=1cH0IKMLGApDPTkYQJnH3fLAHnQf5IXsa</t>
  </si>
  <si>
    <t>DEIMOS</t>
  </si>
  <si>
    <t>Arenas</t>
  </si>
  <si>
    <t>Alexa Nicole</t>
  </si>
  <si>
    <t>alexa.arenasf@uanl.edu.mx</t>
  </si>
  <si>
    <t>Alanís</t>
  </si>
  <si>
    <t>Paulina</t>
  </si>
  <si>
    <t>paulina.martineza@uanl.edu.mx</t>
  </si>
  <si>
    <t>Diego Adrián</t>
  </si>
  <si>
    <t>adrian.laras@uanl.edu.mx</t>
  </si>
  <si>
    <t>Rocha</t>
  </si>
  <si>
    <t>Esparza</t>
  </si>
  <si>
    <t>Hugo Hernán</t>
  </si>
  <si>
    <t>hugo.rochae@uanl.edu.mx</t>
  </si>
  <si>
    <t>https://drive.google.com/open?id=1ltIy7dFRenDtm4zGioDGbg_FLEJuYNsL</t>
  </si>
  <si>
    <t>Serpens</t>
  </si>
  <si>
    <t>Fernando</t>
  </si>
  <si>
    <t>Saenz</t>
  </si>
  <si>
    <t>fernando.rodriguezsnz@uanl.edu.mx</t>
  </si>
  <si>
    <t>Lechuga</t>
  </si>
  <si>
    <t>Aldahir</t>
  </si>
  <si>
    <t>aldahir.lechugag@uanl.edu.mx</t>
  </si>
  <si>
    <t>Aguirre</t>
  </si>
  <si>
    <t>Jimena</t>
  </si>
  <si>
    <t>jimena.aguirreg@uanl.edu.mx</t>
  </si>
  <si>
    <t>Abraham</t>
  </si>
  <si>
    <t>abraham.garciamrt@uanl.edu.mx</t>
  </si>
  <si>
    <t>Sara Julieth</t>
  </si>
  <si>
    <t>sara.moraless@uanl.edu.mx</t>
  </si>
  <si>
    <t>Acosta</t>
  </si>
  <si>
    <t>Valeria Guadalupe</t>
  </si>
  <si>
    <t>valeria.florescs@uanl.edu.mx</t>
  </si>
  <si>
    <t>https://drive.google.com/open?id=16p-ceZ8lyvZtBxIH11LDOHaTVUvgUnzQ</t>
  </si>
  <si>
    <t>Sputnik</t>
  </si>
  <si>
    <t xml:space="preserve">Jesús Daniel </t>
  </si>
  <si>
    <t xml:space="preserve">Gaona </t>
  </si>
  <si>
    <t xml:space="preserve">Rangel </t>
  </si>
  <si>
    <t xml:space="preserve">Ivan Eduardo </t>
  </si>
  <si>
    <t xml:space="preserve"> ivan.gaonar@uanl.edu.mx</t>
  </si>
  <si>
    <t xml:space="preserve">Cruz </t>
  </si>
  <si>
    <t xml:space="preserve">Oliva </t>
  </si>
  <si>
    <t xml:space="preserve">Jared Omar </t>
  </si>
  <si>
    <t>jared.cruzo@uanl.edu.mx</t>
  </si>
  <si>
    <t xml:space="preserve">Molina </t>
  </si>
  <si>
    <t xml:space="preserve">Cazares </t>
  </si>
  <si>
    <t xml:space="preserve">Arleth Veronica </t>
  </si>
  <si>
    <t>arleth.molinac@uanl.edu.mx</t>
  </si>
  <si>
    <t xml:space="preserve">Acosta </t>
  </si>
  <si>
    <t xml:space="preserve">Davila </t>
  </si>
  <si>
    <t xml:space="preserve">Paola </t>
  </si>
  <si>
    <t>paola.acostad@uanl.edu.mx</t>
  </si>
  <si>
    <t xml:space="preserve">Hernandez </t>
  </si>
  <si>
    <t xml:space="preserve">Sanchez </t>
  </si>
  <si>
    <t xml:space="preserve">Luna Azul </t>
  </si>
  <si>
    <t>luna.hernandezs@uanl.edu.mx</t>
  </si>
  <si>
    <t>https://drive.google.com/open?id=18akbC1TF_oLRy-NZUIDfHLLvsfOH-mtj</t>
  </si>
  <si>
    <t>Fastline23</t>
  </si>
  <si>
    <t xml:space="preserve">Juarez </t>
  </si>
  <si>
    <t xml:space="preserve">Angel Zaid </t>
  </si>
  <si>
    <t>angel.suarezs@uanl.edu.mx</t>
  </si>
  <si>
    <t xml:space="preserve">Perez </t>
  </si>
  <si>
    <t xml:space="preserve">Herrera </t>
  </si>
  <si>
    <t xml:space="preserve">Aarón Alejandro </t>
  </si>
  <si>
    <t>aaron.perezh@uanl.edu.mx</t>
  </si>
  <si>
    <t xml:space="preserve">Cabrera </t>
  </si>
  <si>
    <t xml:space="preserve">Ari Lenuel </t>
  </si>
  <si>
    <t>lemuel.cabrerac@uanl.edu.mx</t>
  </si>
  <si>
    <t xml:space="preserve">Garcia  </t>
  </si>
  <si>
    <t>Perez</t>
  </si>
  <si>
    <t xml:space="preserve">Karen Melisa </t>
  </si>
  <si>
    <t>melisa.garciap@uanl.edu.mx</t>
  </si>
  <si>
    <t>https://drive.google.com/open?id=1z1Ao7oPkfn9G-G6TXwHbvrC0GbL7DWcg</t>
  </si>
  <si>
    <t>Centro Universitario Franco Mexicano</t>
  </si>
  <si>
    <t>RoboHawk</t>
  </si>
  <si>
    <t>María Elena</t>
  </si>
  <si>
    <t xml:space="preserve"> Flores </t>
  </si>
  <si>
    <t xml:space="preserve">Soto </t>
  </si>
  <si>
    <t xml:space="preserve"> Tamez </t>
  </si>
  <si>
    <t>Danna Alizée</t>
  </si>
  <si>
    <t>alizee.soto@gmail.com</t>
  </si>
  <si>
    <t xml:space="preserve">Guerra </t>
  </si>
  <si>
    <t>Karla María</t>
  </si>
  <si>
    <t>karla.vazquez@cumdemty,edu.mx</t>
  </si>
  <si>
    <t xml:space="preserve">Malacara </t>
  </si>
  <si>
    <t xml:space="preserve">Conde </t>
  </si>
  <si>
    <t>Martha Olivia</t>
  </si>
  <si>
    <t>marthaoliviamalacara@gmail.com</t>
  </si>
  <si>
    <t xml:space="preserve">Burruel </t>
  </si>
  <si>
    <t xml:space="preserve">Castañón </t>
  </si>
  <si>
    <t>Erick Nohe</t>
  </si>
  <si>
    <t>ericknoheb@gmail.com</t>
  </si>
  <si>
    <t>https://drive.google.com/open?id=1Aga3T345_SDcbCpNL8UZQV_w3PhcdJCc</t>
  </si>
  <si>
    <t>Jorge Said</t>
  </si>
  <si>
    <t>Evangelista</t>
  </si>
  <si>
    <t>Gomez</t>
  </si>
  <si>
    <t>JESUS</t>
  </si>
  <si>
    <t>GUTIERREZ</t>
  </si>
  <si>
    <t>LOZANO</t>
  </si>
  <si>
    <t>Jonathan Orlando</t>
  </si>
  <si>
    <t>Diego Emilio</t>
  </si>
  <si>
    <t>Colegio Salesianos Don Bosco de Monterrey</t>
  </si>
  <si>
    <t>Bulos</t>
  </si>
  <si>
    <t>Pedraza</t>
  </si>
  <si>
    <t>Díaz</t>
  </si>
  <si>
    <t>Baez</t>
  </si>
  <si>
    <t>debanhi.diazb@uanl.edu.mx</t>
  </si>
  <si>
    <t>Androides DB</t>
  </si>
  <si>
    <t>Verónica</t>
  </si>
  <si>
    <t>Debanhi Elizabeth4</t>
  </si>
  <si>
    <t>Perales</t>
  </si>
  <si>
    <t>Alonso</t>
  </si>
  <si>
    <t>Darío Felix</t>
  </si>
  <si>
    <t>dario.peralesa@uanl.edu.mx</t>
  </si>
  <si>
    <t>Jesús Darío</t>
  </si>
  <si>
    <t>dario.guerrerop@uanl.edu.mx</t>
  </si>
  <si>
    <t>Reyna</t>
  </si>
  <si>
    <t>Omar</t>
  </si>
  <si>
    <t>omar.sotor@uanl.edu.mx</t>
  </si>
  <si>
    <t>Ledesma</t>
  </si>
  <si>
    <t>Rubén Emiliano</t>
  </si>
  <si>
    <t>ruben.salasl@uanl.edu.mx</t>
  </si>
  <si>
    <t>https://drive.google.com/open?id=1YCm9pIG0Tjg9bKqPTezhfl7eBKIfM4RR</t>
  </si>
  <si>
    <t xml:space="preserve">Jesús Erick Mauricio </t>
  </si>
  <si>
    <t xml:space="preserve">Palacios </t>
  </si>
  <si>
    <t>Antonio</t>
  </si>
  <si>
    <t xml:space="preserve">Juan Antonio </t>
  </si>
  <si>
    <t>Miranda</t>
  </si>
  <si>
    <t xml:space="preserve">Jahir Antonio </t>
  </si>
  <si>
    <t>Tamez</t>
  </si>
  <si>
    <t>Tapia</t>
  </si>
  <si>
    <t xml:space="preserve">Víctor Manuel </t>
  </si>
  <si>
    <t>Hiracheta</t>
  </si>
  <si>
    <t>Jorge Adolfo</t>
  </si>
  <si>
    <t>Rafael Alfredo</t>
  </si>
  <si>
    <t>Cavazos</t>
  </si>
  <si>
    <t>Karla Alejandra</t>
  </si>
  <si>
    <t>Quiroga</t>
  </si>
  <si>
    <t xml:space="preserve">Izethly Jarinzzi </t>
  </si>
  <si>
    <t xml:space="preserve">López </t>
  </si>
  <si>
    <t>Centro de Investigación y Desarrollo de Educación Bilingüe (CIDEB)</t>
  </si>
  <si>
    <t>CR-Delta!</t>
  </si>
  <si>
    <t>Sergio</t>
  </si>
  <si>
    <t>Gallegos</t>
  </si>
  <si>
    <t>López</t>
  </si>
  <si>
    <t>Zúñiga</t>
  </si>
  <si>
    <t>Jaime Noé</t>
  </si>
  <si>
    <t>jaime.zunigai@uanl.edu.mx</t>
  </si>
  <si>
    <t>Cepeda</t>
  </si>
  <si>
    <t>Mata</t>
  </si>
  <si>
    <t>Iriel Elizabeth</t>
  </si>
  <si>
    <t>iriel.cepedam@uanl.edu.mx</t>
  </si>
  <si>
    <t>Cordero</t>
  </si>
  <si>
    <t>Paulin</t>
  </si>
  <si>
    <t>Johana Lileny</t>
  </si>
  <si>
    <t>johana.corderop@uanl.edu.mx</t>
  </si>
  <si>
    <t>Oscar Damián</t>
  </si>
  <si>
    <t>oscar.elizondoe@uanl.edu.mx</t>
  </si>
  <si>
    <t>https://drive.google.com/open?id=1ofPva7mlLNXwWB4Bvq_5eEs7TIMIdgag</t>
  </si>
  <si>
    <t>Team Galaxy</t>
  </si>
  <si>
    <t xml:space="preserve">Sergio </t>
  </si>
  <si>
    <t xml:space="preserve">Gallegos </t>
  </si>
  <si>
    <t>Rebeca Viridiana</t>
  </si>
  <si>
    <t>viridiana.sanchezl@unal.edu.mx</t>
  </si>
  <si>
    <t>Tirado</t>
  </si>
  <si>
    <t>Padrón</t>
  </si>
  <si>
    <t>Sofía Montserrat</t>
  </si>
  <si>
    <t>sofia.tiradop@uanl.edu.mx</t>
  </si>
  <si>
    <t>Cedillo</t>
  </si>
  <si>
    <t>Ana María</t>
  </si>
  <si>
    <t>maria.hernandezcd@uanl.edu.mx</t>
  </si>
  <si>
    <t xml:space="preserve">Dávila </t>
  </si>
  <si>
    <t>Varelas</t>
  </si>
  <si>
    <t>Roberto de Jesús</t>
  </si>
  <si>
    <t>jesus.davilav@uanl.edu</t>
  </si>
  <si>
    <t>Harden Cooper</t>
  </si>
  <si>
    <t>del Hoyo</t>
  </si>
  <si>
    <t>Logan Richard</t>
  </si>
  <si>
    <t>logan.hardend@uanl.edu.mx</t>
  </si>
  <si>
    <t>https://drive.google.com/open?id=1m1R_C2ixwUOaIwmd6D7pDcdkwqu6jHIc</t>
  </si>
  <si>
    <t>CR-VEMS</t>
  </si>
  <si>
    <t xml:space="preserve">Solís </t>
  </si>
  <si>
    <t>Valeria</t>
  </si>
  <si>
    <t>valeriatamezsls@uanl.edu.mx</t>
  </si>
  <si>
    <t>Omar Said</t>
  </si>
  <si>
    <t>said.gonzalezg@uanl.edu.mx</t>
  </si>
  <si>
    <t>Bazaldua</t>
  </si>
  <si>
    <t>Villalobos</t>
  </si>
  <si>
    <t>Erick Daniel</t>
  </si>
  <si>
    <t>erick.bazalduav@uanl.edu.mx</t>
  </si>
  <si>
    <t>Martiñon</t>
  </si>
  <si>
    <t>miranda.martinonr@uanl.edu.mx</t>
  </si>
  <si>
    <t>https://drive.google.com/open?id=1ahoWnGTg0TuFCof12rvimYsV5kWTQaWB</t>
  </si>
  <si>
    <t>Total</t>
  </si>
  <si>
    <t>mario.es.ortega@gmail.com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</si>
</sst>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b/>
      <sz val="11"/>
      <color rgb="FF000000"/>
      <name val="Arial"/>
      <family val="2"/>
      <scheme val="minor"/>
    </font>
    <font>
      <b/>
      <sz val="10"/>
      <color theme="4"/>
      <name val="Arial"/>
      <family val="2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 applyFont="1" applyAlignment="1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/>
    <xf numFmtId="14" fontId="1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1" applyAlignment="1"/>
  </cellXfs>
  <cellStyles count="2">
    <cellStyle name="Hipervínculo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AU52" totalsRowCount="1">
  <autoFilter ref="A1:AU51">
    <filterColumn colId="1">
      <filters>
        <filter val="Centro de Investigación y Desarrollo de Educación Bilingüe (CIDEB)"/>
        <filter val="Escuela Industrial y Preparatoria Técnica Álvaro Obregón"/>
        <filter val="Preparatoria 13"/>
        <filter val="Preparatoria 14"/>
        <filter val="Preparatoria 19"/>
        <filter val="Preparatoria 24"/>
        <filter val="Preparatoria 3"/>
        <filter val="Preparatoria 4"/>
        <filter val="Preparatoria 7"/>
      </filters>
    </filterColumn>
  </autoFilter>
  <sortState ref="A2:AU51">
    <sortCondition ref="B1:B52"/>
  </sortState>
  <tableColumns count="47">
    <tableColumn id="1" name="Marca temporal"/>
    <tableColumn id="2" name="Escuela preparatoria"/>
    <tableColumn id="3" name="Nombre Escuela Incorporada"/>
    <tableColumn id="4" name="Nombre del equipo" dataDxfId="1"/>
    <tableColumn id="5" name="Categoría a participar" dataDxfId="0"/>
    <tableColumn id="6" name="Nombre(s)"/>
    <tableColumn id="7" name="Apellido paterno"/>
    <tableColumn id="8" name="Apellido materno"/>
    <tableColumn id="9" name="Teléfono celular"/>
    <tableColumn id="10" name="Correo institucional"/>
    <tableColumn id="11" name="Matrícula "/>
    <tableColumn id="12" name="Apellido paterno 2"/>
    <tableColumn id="13" name="Apellido materno 2"/>
    <tableColumn id="14" name="Nombre(s) 2"/>
    <tableColumn id="15" name="Semestre"/>
    <tableColumn id="16" name="Fecha de nacimiento"/>
    <tableColumn id="17" name="Correo electrónico"/>
    <tableColumn id="18" name="Matrícula  2"/>
    <tableColumn id="19" name="Apellido paterno 3"/>
    <tableColumn id="20" name="Apellido materno 3"/>
    <tableColumn id="21" name="Nombre(s) 3"/>
    <tableColumn id="22" name="Semestre 2"/>
    <tableColumn id="23" name="Fecha de nacimiento 2"/>
    <tableColumn id="24" name="Correo electrónico 2"/>
    <tableColumn id="25" name="Matrícula  3"/>
    <tableColumn id="26" name="Apellido paterno 4"/>
    <tableColumn id="27" name="Apellido materno 4"/>
    <tableColumn id="28" name="Nombre(s) 4"/>
    <tableColumn id="29" name="Semestre 3"/>
    <tableColumn id="30" name="Fecha de nacimiento 3"/>
    <tableColumn id="31" name="Correo electrónico 3"/>
    <tableColumn id="32" name="Matrícula  4"/>
    <tableColumn id="33" name="Apellido paterno 5"/>
    <tableColumn id="34" name="Apellido materno 5"/>
    <tableColumn id="35" name="Nombre(s) 5"/>
    <tableColumn id="36" name="Semestre 4"/>
    <tableColumn id="37" name="Fecha de nacimiento 4"/>
    <tableColumn id="38" name="Correo electrónico 4"/>
    <tableColumn id="39" name="Participas en categoría escenario (ONSTAGE)"/>
    <tableColumn id="40" name="Matrícula  5"/>
    <tableColumn id="41" name="Apellido paterno 6"/>
    <tableColumn id="42" name="Apellido materno 6"/>
    <tableColumn id="43" name="Nombre(s) 6"/>
    <tableColumn id="44" name="Semestre 5"/>
    <tableColumn id="45" name="Fecha de nacimiento 5"/>
    <tableColumn id="46" name="Correo electrónico 5"/>
    <tableColumn id="47" name="Oficio firmado por el/la director(a) de la Preparatoria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drive.google.com/open?id=1ofPva7mlLNXwWB4Bvq_5eEs7TIMIdgag" TargetMode="External"/><Relationship Id="rId7" Type="http://schemas.openxmlformats.org/officeDocument/2006/relationships/hyperlink" Target="mailto:mario.es.ortega@gmail.com" TargetMode="External"/><Relationship Id="rId2" Type="http://schemas.openxmlformats.org/officeDocument/2006/relationships/hyperlink" Target="https://drive.google.com/open?id=1YCm9pIG0Tjg9bKqPTezhfl7eBKIfM4RR" TargetMode="External"/><Relationship Id="rId1" Type="http://schemas.openxmlformats.org/officeDocument/2006/relationships/hyperlink" Target="https://drive.google.com/open?id=1Aga3T345_SDcbCpNL8UZQV_w3PhcdJCc" TargetMode="External"/><Relationship Id="rId6" Type="http://schemas.openxmlformats.org/officeDocument/2006/relationships/hyperlink" Target="mailto:mario.es.ortega@gmail.com" TargetMode="External"/><Relationship Id="rId5" Type="http://schemas.openxmlformats.org/officeDocument/2006/relationships/hyperlink" Target="https://drive.google.com/open?id=1ahoWnGTg0TuFCof12rvimYsV5kWTQaWB" TargetMode="External"/><Relationship Id="rId4" Type="http://schemas.openxmlformats.org/officeDocument/2006/relationships/hyperlink" Target="https://drive.google.com/open?id=1m1R_C2ixwUOaIwmd6D7pDcdkwqu6jHIc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U51"/>
  <sheetViews>
    <sheetView tabSelected="1" zoomScale="55" zoomScaleNormal="55" workbookViewId="0">
      <pane ySplit="1" topLeftCell="A2" activePane="bottomLeft" state="frozen"/>
      <selection pane="bottomLeft" activeCell="A7" sqref="A7"/>
    </sheetView>
  </sheetViews>
  <sheetFormatPr baseColWidth="10" defaultColWidth="12.5703125" defaultRowHeight="20.100000000000001" customHeight="1" x14ac:dyDescent="0.2"/>
  <cols>
    <col min="1" max="1" width="18.85546875" customWidth="1"/>
    <col min="2" max="2" width="58.140625" bestFit="1" customWidth="1"/>
    <col min="3" max="3" width="22.42578125" customWidth="1"/>
    <col min="4" max="4" width="19.140625" customWidth="1"/>
    <col min="5" max="5" width="21" customWidth="1"/>
    <col min="6" max="9" width="18.85546875" customWidth="1"/>
    <col min="10" max="10" width="29.42578125" customWidth="1"/>
    <col min="11" max="15" width="18.85546875" customWidth="1"/>
    <col min="16" max="16" width="20.42578125" customWidth="1"/>
    <col min="17" max="22" width="18.85546875" customWidth="1"/>
    <col min="23" max="23" width="20.42578125" customWidth="1"/>
    <col min="24" max="29" width="18.85546875" customWidth="1"/>
    <col min="30" max="30" width="20.42578125" customWidth="1"/>
    <col min="31" max="36" width="18.85546875" customWidth="1"/>
    <col min="37" max="37" width="20.42578125" customWidth="1"/>
    <col min="38" max="38" width="18.85546875" customWidth="1"/>
    <col min="39" max="39" width="37.5703125" customWidth="1"/>
    <col min="40" max="44" width="18.85546875" customWidth="1"/>
    <col min="45" max="45" width="20.42578125" customWidth="1"/>
    <col min="46" max="46" width="18.85546875" customWidth="1"/>
    <col min="47" max="47" width="37.5703125" customWidth="1"/>
    <col min="48" max="53" width="18.85546875" customWidth="1"/>
  </cols>
  <sheetData>
    <row r="1" spans="1:47" ht="20.10000000000000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ht="20.100000000000001" customHeight="1" x14ac:dyDescent="0.2">
      <c r="A2">
        <v>46069.845060509258</v>
      </c>
      <c r="B2" t="s">
        <v>414</v>
      </c>
      <c r="D2" t="s">
        <v>433</v>
      </c>
      <c r="E2" t="s">
        <v>55</v>
      </c>
      <c r="F2" t="s">
        <v>434</v>
      </c>
      <c r="G2" t="s">
        <v>435</v>
      </c>
      <c r="H2" t="s">
        <v>418</v>
      </c>
      <c r="I2">
        <v>8111189542</v>
      </c>
      <c r="J2" s="11" t="s">
        <v>468</v>
      </c>
      <c r="K2">
        <v>2229925</v>
      </c>
      <c r="L2" t="s">
        <v>258</v>
      </c>
      <c r="M2" t="s">
        <v>75</v>
      </c>
      <c r="N2" t="s">
        <v>436</v>
      </c>
      <c r="O2" t="s">
        <v>52</v>
      </c>
      <c r="P2">
        <v>39971</v>
      </c>
      <c r="Q2" t="s">
        <v>437</v>
      </c>
      <c r="R2">
        <v>2229923</v>
      </c>
      <c r="S2" t="s">
        <v>438</v>
      </c>
      <c r="T2" t="s">
        <v>439</v>
      </c>
      <c r="U2" t="s">
        <v>440</v>
      </c>
      <c r="V2" t="s">
        <v>52</v>
      </c>
      <c r="W2">
        <v>40075</v>
      </c>
      <c r="X2" t="s">
        <v>441</v>
      </c>
      <c r="Y2">
        <v>2229454</v>
      </c>
      <c r="Z2" t="s">
        <v>168</v>
      </c>
      <c r="AA2" t="s">
        <v>442</v>
      </c>
      <c r="AB2" t="s">
        <v>443</v>
      </c>
      <c r="AC2" t="s">
        <v>52</v>
      </c>
      <c r="AD2">
        <v>39907</v>
      </c>
      <c r="AE2" t="s">
        <v>444</v>
      </c>
      <c r="AF2">
        <v>2279143</v>
      </c>
      <c r="AG2" t="s">
        <v>445</v>
      </c>
      <c r="AH2" t="s">
        <v>446</v>
      </c>
      <c r="AI2" t="s">
        <v>447</v>
      </c>
      <c r="AJ2" t="s">
        <v>59</v>
      </c>
      <c r="AK2">
        <v>40254</v>
      </c>
      <c r="AL2" t="s">
        <v>448</v>
      </c>
      <c r="AM2" t="s">
        <v>60</v>
      </c>
      <c r="AN2">
        <v>2279353</v>
      </c>
      <c r="AO2" t="s">
        <v>449</v>
      </c>
      <c r="AP2" t="s">
        <v>450</v>
      </c>
      <c r="AQ2" t="s">
        <v>451</v>
      </c>
      <c r="AR2" t="s">
        <v>59</v>
      </c>
      <c r="AS2">
        <v>40187</v>
      </c>
      <c r="AT2" t="s">
        <v>452</v>
      </c>
      <c r="AU2" t="s">
        <v>453</v>
      </c>
    </row>
    <row r="3" spans="1:47" ht="20.100000000000001" customHeight="1" x14ac:dyDescent="0.2">
      <c r="A3">
        <v>46069.848373773144</v>
      </c>
      <c r="B3" t="s">
        <v>414</v>
      </c>
      <c r="D3" t="s">
        <v>454</v>
      </c>
      <c r="E3" t="s">
        <v>47</v>
      </c>
      <c r="F3" t="s">
        <v>416</v>
      </c>
      <c r="G3" t="s">
        <v>417</v>
      </c>
      <c r="H3" t="s">
        <v>413</v>
      </c>
      <c r="I3">
        <v>8111189542</v>
      </c>
      <c r="J3" s="11" t="s">
        <v>468</v>
      </c>
      <c r="K3">
        <v>2229604</v>
      </c>
      <c r="L3" t="s">
        <v>403</v>
      </c>
      <c r="M3" t="s">
        <v>455</v>
      </c>
      <c r="N3" t="s">
        <v>456</v>
      </c>
      <c r="O3" t="s">
        <v>52</v>
      </c>
      <c r="P3">
        <v>39955</v>
      </c>
      <c r="Q3" t="s">
        <v>457</v>
      </c>
      <c r="R3">
        <v>2229971</v>
      </c>
      <c r="S3" t="s">
        <v>69</v>
      </c>
      <c r="T3" t="s">
        <v>69</v>
      </c>
      <c r="U3" t="s">
        <v>458</v>
      </c>
      <c r="V3" t="s">
        <v>52</v>
      </c>
      <c r="W3">
        <v>39899</v>
      </c>
      <c r="X3" t="s">
        <v>459</v>
      </c>
      <c r="Y3">
        <v>2278807</v>
      </c>
      <c r="Z3" t="s">
        <v>460</v>
      </c>
      <c r="AA3" t="s">
        <v>461</v>
      </c>
      <c r="AB3" t="s">
        <v>462</v>
      </c>
      <c r="AC3" t="s">
        <v>59</v>
      </c>
      <c r="AD3">
        <v>40451</v>
      </c>
      <c r="AE3" t="s">
        <v>463</v>
      </c>
      <c r="AF3">
        <v>2279588</v>
      </c>
      <c r="AG3" t="s">
        <v>464</v>
      </c>
      <c r="AH3" t="s">
        <v>58</v>
      </c>
      <c r="AI3" t="s">
        <v>401</v>
      </c>
      <c r="AJ3" t="s">
        <v>59</v>
      </c>
      <c r="AK3">
        <v>40188</v>
      </c>
      <c r="AL3" t="s">
        <v>465</v>
      </c>
      <c r="AM3" t="s">
        <v>54</v>
      </c>
      <c r="AU3" t="s">
        <v>466</v>
      </c>
    </row>
    <row r="4" spans="1:47" ht="20.100000000000001" customHeight="1" x14ac:dyDescent="0.2">
      <c r="A4">
        <v>46069.833987974533</v>
      </c>
      <c r="B4" t="s">
        <v>414</v>
      </c>
      <c r="D4" t="s">
        <v>415</v>
      </c>
      <c r="E4" t="s">
        <v>71</v>
      </c>
      <c r="F4" t="s">
        <v>416</v>
      </c>
      <c r="G4" t="s">
        <v>417</v>
      </c>
      <c r="H4" t="s">
        <v>418</v>
      </c>
      <c r="I4">
        <v>8111189542</v>
      </c>
      <c r="J4" s="11" t="s">
        <v>468</v>
      </c>
      <c r="K4">
        <v>2229836</v>
      </c>
      <c r="L4" t="s">
        <v>419</v>
      </c>
      <c r="M4" t="s">
        <v>70</v>
      </c>
      <c r="N4" t="s">
        <v>420</v>
      </c>
      <c r="O4" t="s">
        <v>52</v>
      </c>
      <c r="P4">
        <v>40010</v>
      </c>
      <c r="Q4" t="s">
        <v>421</v>
      </c>
      <c r="R4">
        <v>2229446</v>
      </c>
      <c r="S4" t="s">
        <v>422</v>
      </c>
      <c r="T4" t="s">
        <v>423</v>
      </c>
      <c r="U4" t="s">
        <v>424</v>
      </c>
      <c r="V4" t="s">
        <v>52</v>
      </c>
      <c r="W4">
        <v>39865</v>
      </c>
      <c r="X4" t="s">
        <v>425</v>
      </c>
      <c r="Y4">
        <v>2305375</v>
      </c>
      <c r="Z4" t="s">
        <v>426</v>
      </c>
      <c r="AA4" t="s">
        <v>427</v>
      </c>
      <c r="AB4" t="s">
        <v>428</v>
      </c>
      <c r="AC4" t="s">
        <v>59</v>
      </c>
      <c r="AD4">
        <v>40275</v>
      </c>
      <c r="AE4" t="s">
        <v>429</v>
      </c>
      <c r="AF4">
        <v>2279527</v>
      </c>
      <c r="AG4" t="s">
        <v>96</v>
      </c>
      <c r="AH4" t="s">
        <v>61</v>
      </c>
      <c r="AI4" t="s">
        <v>430</v>
      </c>
      <c r="AJ4" t="s">
        <v>59</v>
      </c>
      <c r="AK4">
        <v>40422</v>
      </c>
      <c r="AL4" t="s">
        <v>431</v>
      </c>
      <c r="AM4" t="s">
        <v>54</v>
      </c>
      <c r="AU4" t="s">
        <v>432</v>
      </c>
    </row>
    <row r="5" spans="1:47" ht="20.100000000000001" customHeight="1" x14ac:dyDescent="0.2">
      <c r="A5" s="1">
        <v>46066.514186412038</v>
      </c>
      <c r="B5" s="2" t="s">
        <v>347</v>
      </c>
      <c r="D5" s="2" t="s">
        <v>348</v>
      </c>
      <c r="E5" s="2" t="s">
        <v>71</v>
      </c>
      <c r="F5" s="2" t="s">
        <v>349</v>
      </c>
      <c r="G5" s="2" t="s">
        <v>350</v>
      </c>
      <c r="H5" s="2" t="s">
        <v>120</v>
      </c>
      <c r="I5" s="2">
        <v>8116218385</v>
      </c>
      <c r="J5" s="11" t="s">
        <v>468</v>
      </c>
      <c r="K5" s="2">
        <v>2220193</v>
      </c>
      <c r="L5" s="2" t="s">
        <v>351</v>
      </c>
      <c r="M5" s="2" t="s">
        <v>352</v>
      </c>
      <c r="N5" s="2" t="s">
        <v>353</v>
      </c>
      <c r="O5" s="2" t="s">
        <v>131</v>
      </c>
      <c r="P5" s="3">
        <v>39486</v>
      </c>
      <c r="Q5" s="2" t="s">
        <v>354</v>
      </c>
      <c r="R5" s="2">
        <v>2220134</v>
      </c>
      <c r="S5" s="2" t="s">
        <v>113</v>
      </c>
      <c r="T5" s="2" t="s">
        <v>355</v>
      </c>
      <c r="U5" s="2" t="s">
        <v>356</v>
      </c>
      <c r="V5" s="2" t="s">
        <v>131</v>
      </c>
      <c r="W5" s="3">
        <v>39746</v>
      </c>
      <c r="X5" s="2" t="s">
        <v>357</v>
      </c>
      <c r="Y5" s="2">
        <v>2268862</v>
      </c>
      <c r="Z5" s="2" t="s">
        <v>358</v>
      </c>
      <c r="AA5" s="2" t="s">
        <v>359</v>
      </c>
      <c r="AB5" s="2" t="s">
        <v>360</v>
      </c>
      <c r="AC5" s="2" t="s">
        <v>52</v>
      </c>
      <c r="AD5" s="3">
        <v>39942</v>
      </c>
      <c r="AE5" s="2" t="s">
        <v>361</v>
      </c>
      <c r="AF5" s="2">
        <v>2268855</v>
      </c>
      <c r="AG5" s="2" t="s">
        <v>362</v>
      </c>
      <c r="AH5" s="2" t="s">
        <v>363</v>
      </c>
      <c r="AI5" s="2" t="s">
        <v>364</v>
      </c>
      <c r="AJ5" s="2" t="s">
        <v>52</v>
      </c>
      <c r="AK5" s="3">
        <v>39810</v>
      </c>
      <c r="AL5" s="2" t="s">
        <v>365</v>
      </c>
      <c r="AM5" s="2" t="s">
        <v>54</v>
      </c>
      <c r="AU5" s="4" t="s">
        <v>366</v>
      </c>
    </row>
    <row r="6" spans="1:47" ht="20.100000000000001" customHeight="1" x14ac:dyDescent="0.2">
      <c r="A6" s="1">
        <v>46068.630102314812</v>
      </c>
      <c r="B6" s="2" t="s">
        <v>375</v>
      </c>
      <c r="D6" s="2" t="s">
        <v>381</v>
      </c>
      <c r="E6" s="2" t="s">
        <v>55</v>
      </c>
      <c r="F6" s="2" t="s">
        <v>382</v>
      </c>
      <c r="G6" s="2" t="s">
        <v>376</v>
      </c>
      <c r="H6" s="2" t="s">
        <v>200</v>
      </c>
      <c r="I6" s="2">
        <v>7731633931</v>
      </c>
      <c r="J6" s="11" t="s">
        <v>468</v>
      </c>
      <c r="K6" s="2">
        <v>2268256</v>
      </c>
      <c r="L6" s="2" t="s">
        <v>378</v>
      </c>
      <c r="M6" s="2" t="s">
        <v>379</v>
      </c>
      <c r="N6" s="2" t="s">
        <v>383</v>
      </c>
      <c r="O6" s="2" t="s">
        <v>52</v>
      </c>
      <c r="P6" s="3">
        <v>39603</v>
      </c>
      <c r="Q6" s="2" t="s">
        <v>380</v>
      </c>
      <c r="R6" s="2">
        <v>2268259</v>
      </c>
      <c r="S6" s="2" t="s">
        <v>384</v>
      </c>
      <c r="T6" s="2" t="s">
        <v>385</v>
      </c>
      <c r="U6" s="2" t="s">
        <v>386</v>
      </c>
      <c r="V6" s="2" t="s">
        <v>52</v>
      </c>
      <c r="W6" s="3">
        <v>40046</v>
      </c>
      <c r="X6" s="2" t="s">
        <v>387</v>
      </c>
      <c r="Y6" s="2">
        <v>2268237</v>
      </c>
      <c r="Z6" s="2" t="s">
        <v>49</v>
      </c>
      <c r="AA6" s="2" t="s">
        <v>377</v>
      </c>
      <c r="AB6" s="2" t="s">
        <v>388</v>
      </c>
      <c r="AC6" s="2" t="s">
        <v>52</v>
      </c>
      <c r="AD6" s="3">
        <v>39835</v>
      </c>
      <c r="AE6" s="2" t="s">
        <v>389</v>
      </c>
      <c r="AF6" s="2">
        <v>2268244</v>
      </c>
      <c r="AG6" s="2" t="s">
        <v>351</v>
      </c>
      <c r="AH6" s="2" t="s">
        <v>390</v>
      </c>
      <c r="AI6" s="2" t="s">
        <v>391</v>
      </c>
      <c r="AJ6" s="2" t="s">
        <v>52</v>
      </c>
      <c r="AL6" s="2" t="s">
        <v>392</v>
      </c>
      <c r="AM6" s="2" t="s">
        <v>60</v>
      </c>
      <c r="AN6" s="2">
        <v>2268244</v>
      </c>
      <c r="AO6" s="2" t="s">
        <v>200</v>
      </c>
      <c r="AP6" s="2" t="s">
        <v>393</v>
      </c>
      <c r="AQ6" s="2" t="s">
        <v>394</v>
      </c>
      <c r="AR6" s="2" t="s">
        <v>52</v>
      </c>
      <c r="AS6" s="3">
        <v>40157</v>
      </c>
      <c r="AT6" s="2" t="s">
        <v>395</v>
      </c>
      <c r="AU6" s="4" t="s">
        <v>396</v>
      </c>
    </row>
    <row r="7" spans="1:47" ht="20.100000000000001" customHeight="1" x14ac:dyDescent="0.2">
      <c r="A7" s="1"/>
      <c r="B7" s="2"/>
      <c r="D7" s="2"/>
      <c r="E7" s="2"/>
      <c r="F7" s="2"/>
      <c r="G7" s="2"/>
      <c r="H7" s="2"/>
      <c r="I7" s="2"/>
      <c r="J7" s="11"/>
      <c r="K7" s="2"/>
      <c r="L7" s="2"/>
      <c r="M7" s="2"/>
      <c r="N7" s="2"/>
      <c r="O7" s="2"/>
      <c r="P7" s="3"/>
      <c r="Q7" s="2"/>
      <c r="R7" s="2"/>
      <c r="S7" s="2"/>
      <c r="T7" s="2"/>
      <c r="U7" s="2"/>
      <c r="V7" s="2"/>
      <c r="W7" s="3"/>
      <c r="X7" s="2"/>
      <c r="Y7" s="2"/>
      <c r="Z7" s="2"/>
      <c r="AA7" s="2"/>
      <c r="AB7" s="2"/>
      <c r="AC7" s="2"/>
      <c r="AD7" s="3"/>
      <c r="AE7" s="2"/>
      <c r="AM7" s="2"/>
      <c r="AN7" s="2"/>
      <c r="AO7" s="2"/>
      <c r="AP7" s="2"/>
      <c r="AQ7" s="2"/>
      <c r="AR7" s="2"/>
      <c r="AS7" s="3"/>
      <c r="AT7" s="2"/>
      <c r="AU7" s="4"/>
    </row>
    <row r="8" spans="1:47" ht="20.100000000000001" customHeight="1" x14ac:dyDescent="0.2">
      <c r="J8" s="11"/>
    </row>
    <row r="9" spans="1:47" ht="20.100000000000001" customHeight="1" x14ac:dyDescent="0.2">
      <c r="A9" s="1"/>
      <c r="B9" s="2"/>
      <c r="D9" s="2"/>
      <c r="E9" s="2"/>
      <c r="F9" s="2"/>
      <c r="G9" s="2"/>
      <c r="H9" s="2"/>
      <c r="I9" s="2"/>
      <c r="J9" s="11"/>
      <c r="K9" s="2"/>
      <c r="L9" s="2"/>
      <c r="M9" s="2"/>
      <c r="N9" s="2"/>
      <c r="O9" s="2"/>
      <c r="P9" s="3"/>
      <c r="Q9" s="2"/>
      <c r="R9" s="2"/>
      <c r="S9" s="2"/>
      <c r="T9" s="2"/>
      <c r="U9" s="2"/>
      <c r="V9" s="2"/>
      <c r="W9" s="3"/>
      <c r="X9" s="2"/>
      <c r="Y9" s="2"/>
      <c r="Z9" s="2"/>
      <c r="AA9" s="2"/>
      <c r="AB9" s="2"/>
      <c r="AC9" s="2"/>
      <c r="AD9" s="3"/>
      <c r="AE9" s="2"/>
      <c r="AF9" s="2"/>
      <c r="AG9" s="2"/>
      <c r="AH9" s="2"/>
      <c r="AI9" s="2"/>
      <c r="AJ9" s="2"/>
      <c r="AK9" s="3"/>
      <c r="AL9" s="2"/>
      <c r="AM9" s="2"/>
      <c r="AU9" s="4"/>
    </row>
    <row r="10" spans="1:47" ht="20.100000000000001" customHeight="1" x14ac:dyDescent="0.2">
      <c r="A10" s="1"/>
      <c r="B10" s="2"/>
      <c r="D10" s="2"/>
      <c r="E10" s="2"/>
      <c r="F10" s="2"/>
      <c r="G10" s="2"/>
      <c r="H10" s="2"/>
      <c r="I10" s="2"/>
      <c r="J10" s="11"/>
      <c r="K10" s="2"/>
      <c r="L10" s="2"/>
      <c r="M10" s="2"/>
      <c r="N10" s="2"/>
      <c r="O10" s="2"/>
      <c r="P10" s="3"/>
      <c r="Q10" s="2"/>
      <c r="R10" s="2"/>
      <c r="S10" s="2"/>
      <c r="T10" s="2"/>
      <c r="U10" s="2"/>
      <c r="V10" s="2"/>
      <c r="W10" s="3"/>
      <c r="X10" s="2"/>
      <c r="Y10" s="2"/>
      <c r="Z10" s="2"/>
      <c r="AA10" s="2"/>
      <c r="AB10" s="2"/>
      <c r="AC10" s="2"/>
      <c r="AD10" s="3"/>
      <c r="AE10" s="2"/>
      <c r="AF10" s="2"/>
      <c r="AG10" s="2"/>
      <c r="AH10" s="2"/>
      <c r="AI10" s="2"/>
      <c r="AJ10" s="2"/>
      <c r="AK10" s="3"/>
      <c r="AL10" s="2"/>
      <c r="AM10" s="2"/>
      <c r="AU10" s="4"/>
    </row>
    <row r="11" spans="1:47" ht="20.100000000000001" customHeight="1" x14ac:dyDescent="0.2">
      <c r="J11" s="11"/>
    </row>
    <row r="12" spans="1:47" ht="20.100000000000001" customHeight="1" x14ac:dyDescent="0.2">
      <c r="J12" s="11"/>
    </row>
    <row r="13" spans="1:47" ht="20.100000000000001" customHeight="1" x14ac:dyDescent="0.2">
      <c r="A13" s="1"/>
      <c r="B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3"/>
      <c r="Q13" s="2"/>
      <c r="R13" s="2"/>
      <c r="S13" s="2"/>
      <c r="T13" s="2"/>
      <c r="U13" s="2"/>
      <c r="V13" s="2"/>
      <c r="W13" s="3"/>
      <c r="X13" s="2"/>
      <c r="Y13" s="2"/>
      <c r="Z13" s="2"/>
      <c r="AA13" s="2"/>
      <c r="AB13" s="2"/>
      <c r="AC13" s="2"/>
      <c r="AD13" s="3"/>
      <c r="AE13" s="2"/>
      <c r="AF13" s="2"/>
      <c r="AG13" s="2"/>
      <c r="AH13" s="2"/>
      <c r="AI13" s="2"/>
      <c r="AJ13" s="2"/>
      <c r="AK13" s="3"/>
      <c r="AL13" s="2"/>
      <c r="AM13" s="2"/>
      <c r="AU13" s="4"/>
    </row>
    <row r="14" spans="1:47" ht="20.100000000000001" customHeight="1" x14ac:dyDescent="0.2">
      <c r="A14" s="1"/>
      <c r="B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3"/>
      <c r="Q14" s="2"/>
      <c r="R14" s="2"/>
      <c r="S14" s="2"/>
      <c r="T14" s="2"/>
      <c r="U14" s="2"/>
      <c r="V14" s="2"/>
      <c r="W14" s="3"/>
      <c r="X14" s="2"/>
      <c r="Y14" s="2"/>
      <c r="Z14" s="2"/>
      <c r="AA14" s="2"/>
      <c r="AB14" s="2"/>
      <c r="AC14" s="2"/>
      <c r="AD14" s="3"/>
      <c r="AE14" s="2"/>
      <c r="AF14" s="2"/>
      <c r="AG14" s="2"/>
      <c r="AH14" s="2"/>
      <c r="AI14" s="2"/>
      <c r="AJ14" s="2"/>
      <c r="AK14" s="3"/>
      <c r="AL14" s="2"/>
      <c r="AM14" s="2"/>
      <c r="AN14" s="2"/>
      <c r="AO14" s="2"/>
      <c r="AP14" s="2"/>
      <c r="AQ14" s="2"/>
      <c r="AR14" s="2"/>
      <c r="AS14" s="3"/>
      <c r="AT14" s="2"/>
      <c r="AU14" s="4"/>
    </row>
    <row r="15" spans="1:47" ht="20.100000000000001" customHeight="1" x14ac:dyDescent="0.2">
      <c r="A15" s="1"/>
      <c r="B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  <c r="Q15" s="2"/>
      <c r="R15" s="2"/>
      <c r="S15" s="2"/>
      <c r="T15" s="2"/>
      <c r="U15" s="2"/>
      <c r="V15" s="2"/>
      <c r="W15" s="3"/>
      <c r="X15" s="2"/>
      <c r="Y15" s="2"/>
      <c r="Z15" s="2"/>
      <c r="AA15" s="2"/>
      <c r="AB15" s="2"/>
      <c r="AC15" s="2"/>
      <c r="AD15" s="3"/>
      <c r="AE15" s="2"/>
      <c r="AF15" s="2"/>
      <c r="AG15" s="2"/>
      <c r="AH15" s="2"/>
      <c r="AI15" s="2"/>
      <c r="AJ15" s="2"/>
      <c r="AK15" s="3"/>
      <c r="AL15" s="2"/>
      <c r="AM15" s="2"/>
      <c r="AU15" s="4"/>
    </row>
    <row r="16" spans="1:47" ht="20.100000000000001" customHeight="1" x14ac:dyDescent="0.2">
      <c r="A16" s="1"/>
      <c r="B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3"/>
      <c r="Q16" s="2"/>
      <c r="R16" s="2"/>
      <c r="S16" s="2"/>
      <c r="T16" s="2"/>
      <c r="U16" s="2"/>
      <c r="V16" s="2"/>
      <c r="W16" s="3"/>
      <c r="X16" s="2"/>
      <c r="Y16" s="2"/>
      <c r="Z16" s="2"/>
      <c r="AA16" s="2"/>
      <c r="AB16" s="2"/>
      <c r="AC16" s="2"/>
      <c r="AD16" s="3"/>
      <c r="AE16" s="2"/>
      <c r="AF16" s="2"/>
      <c r="AG16" s="2"/>
      <c r="AH16" s="2"/>
      <c r="AI16" s="2"/>
      <c r="AJ16" s="2"/>
      <c r="AK16" s="3"/>
      <c r="AL16" s="2"/>
      <c r="AM16" s="2"/>
      <c r="AU16" s="4"/>
    </row>
    <row r="17" spans="1:47" ht="20.100000000000001" customHeight="1" x14ac:dyDescent="0.2">
      <c r="A17" s="1"/>
      <c r="B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3"/>
      <c r="Q17" s="2"/>
      <c r="R17" s="2"/>
      <c r="S17" s="2"/>
      <c r="T17" s="2"/>
      <c r="U17" s="2"/>
      <c r="V17" s="2"/>
      <c r="W17" s="3"/>
      <c r="X17" s="2"/>
      <c r="Y17" s="2"/>
      <c r="Z17" s="2"/>
      <c r="AA17" s="2"/>
      <c r="AB17" s="2"/>
      <c r="AC17" s="2"/>
      <c r="AD17" s="3"/>
      <c r="AE17" s="2"/>
      <c r="AF17" s="2"/>
      <c r="AG17" s="2"/>
      <c r="AH17" s="2"/>
      <c r="AI17" s="2"/>
      <c r="AJ17" s="2"/>
      <c r="AK17" s="3"/>
      <c r="AL17" s="2"/>
      <c r="AM17" s="2"/>
      <c r="AU17" s="4"/>
    </row>
    <row r="18" spans="1:47" ht="20.100000000000001" customHeight="1" x14ac:dyDescent="0.2">
      <c r="A18" s="1"/>
      <c r="B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3"/>
      <c r="Q18" s="2"/>
      <c r="R18" s="2"/>
      <c r="S18" s="2"/>
      <c r="T18" s="2"/>
      <c r="U18" s="2"/>
      <c r="V18" s="2"/>
      <c r="W18" s="3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2"/>
      <c r="AK18" s="3"/>
      <c r="AL18" s="2"/>
      <c r="AM18" s="2"/>
      <c r="AU18" s="4"/>
    </row>
    <row r="20" spans="1:47" ht="20.100000000000001" customHeight="1" x14ac:dyDescent="0.2">
      <c r="A20" s="1"/>
      <c r="B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3"/>
      <c r="Q20" s="2"/>
      <c r="R20" s="2"/>
      <c r="S20" s="2"/>
      <c r="T20" s="2"/>
      <c r="U20" s="2"/>
      <c r="V20" s="2"/>
      <c r="W20" s="3"/>
      <c r="X20" s="2"/>
      <c r="Y20" s="2"/>
      <c r="Z20" s="2"/>
      <c r="AA20" s="2"/>
      <c r="AB20" s="2"/>
      <c r="AC20" s="2"/>
      <c r="AD20" s="3"/>
      <c r="AE20" s="2"/>
      <c r="AF20" s="2"/>
      <c r="AG20" s="2"/>
      <c r="AH20" s="2"/>
      <c r="AI20" s="2"/>
      <c r="AJ20" s="2"/>
      <c r="AK20" s="3"/>
      <c r="AL20" s="2"/>
      <c r="AM20" s="2"/>
      <c r="AN20" s="2"/>
      <c r="AO20" s="2"/>
      <c r="AP20" s="2"/>
      <c r="AQ20" s="2"/>
      <c r="AR20" s="2"/>
      <c r="AS20" s="3"/>
      <c r="AT20" s="2"/>
      <c r="AU20" s="4"/>
    </row>
    <row r="21" spans="1:47" ht="20.100000000000001" customHeight="1" x14ac:dyDescent="0.2">
      <c r="A21" s="1"/>
      <c r="B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3"/>
      <c r="Q21" s="2"/>
      <c r="R21" s="2"/>
      <c r="S21" s="2"/>
      <c r="T21" s="2"/>
      <c r="U21" s="2"/>
      <c r="V21" s="2"/>
      <c r="W21" s="3"/>
      <c r="X21" s="2"/>
      <c r="Y21" s="2"/>
      <c r="Z21" s="2"/>
      <c r="AA21" s="2"/>
      <c r="AB21" s="2"/>
      <c r="AC21" s="2"/>
      <c r="AD21" s="3"/>
      <c r="AE21" s="2"/>
      <c r="AF21" s="2"/>
      <c r="AG21" s="2"/>
      <c r="AH21" s="2"/>
      <c r="AI21" s="2"/>
      <c r="AJ21" s="2"/>
      <c r="AK21" s="3"/>
      <c r="AL21" s="2"/>
      <c r="AM21" s="2"/>
      <c r="AU21" s="4"/>
    </row>
    <row r="22" spans="1:47" ht="20.100000000000001" customHeight="1" x14ac:dyDescent="0.2">
      <c r="A22" s="1"/>
      <c r="B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3"/>
      <c r="Q22" s="2"/>
      <c r="R22" s="2"/>
      <c r="S22" s="2"/>
      <c r="T22" s="2"/>
      <c r="U22" s="2"/>
      <c r="V22" s="2"/>
      <c r="W22" s="3"/>
      <c r="X22" s="2"/>
      <c r="Y22" s="2"/>
      <c r="Z22" s="2"/>
      <c r="AA22" s="2"/>
      <c r="AB22" s="2"/>
      <c r="AC22" s="2"/>
      <c r="AD22" s="3"/>
      <c r="AE22" s="2"/>
      <c r="AF22" s="2"/>
      <c r="AG22" s="2"/>
      <c r="AH22" s="2"/>
      <c r="AI22" s="2"/>
      <c r="AJ22" s="2"/>
      <c r="AK22" s="3"/>
      <c r="AL22" s="2"/>
      <c r="AM22" s="2"/>
      <c r="AU22" s="4"/>
    </row>
    <row r="23" spans="1:47" ht="20.100000000000001" customHeight="1" x14ac:dyDescent="0.2">
      <c r="A23" s="1"/>
      <c r="B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3"/>
      <c r="Q23" s="2"/>
      <c r="R23" s="2"/>
      <c r="S23" s="2"/>
      <c r="T23" s="2"/>
      <c r="U23" s="2"/>
      <c r="V23" s="2"/>
      <c r="W23" s="3"/>
      <c r="X23" s="2"/>
      <c r="Y23" s="2"/>
      <c r="Z23" s="2"/>
      <c r="AA23" s="2"/>
      <c r="AB23" s="2"/>
      <c r="AC23" s="2"/>
      <c r="AD23" s="3"/>
      <c r="AE23" s="2"/>
      <c r="AF23" s="2"/>
      <c r="AG23" s="2"/>
      <c r="AH23" s="2"/>
      <c r="AI23" s="2"/>
      <c r="AJ23" s="2"/>
      <c r="AK23" s="3"/>
      <c r="AL23" s="2"/>
      <c r="AM23" s="2"/>
      <c r="AN23" s="2"/>
      <c r="AO23" s="2"/>
      <c r="AP23" s="2"/>
      <c r="AQ23" s="2"/>
      <c r="AR23" s="2"/>
      <c r="AS23" s="3"/>
      <c r="AT23" s="2"/>
      <c r="AU23" s="4"/>
    </row>
    <row r="24" spans="1:47" ht="20.100000000000001" customHeight="1" x14ac:dyDescent="0.2">
      <c r="A24" s="1"/>
      <c r="B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3"/>
      <c r="Q24" s="2"/>
      <c r="R24" s="2"/>
      <c r="S24" s="2"/>
      <c r="T24" s="2"/>
      <c r="U24" s="2"/>
      <c r="V24" s="2"/>
      <c r="W24" s="3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2"/>
      <c r="AK24" s="3"/>
      <c r="AL24" s="2"/>
      <c r="AM24" s="2"/>
      <c r="AU24" s="4"/>
    </row>
    <row r="25" spans="1:47" ht="20.100000000000001" customHeight="1" x14ac:dyDescent="0.2">
      <c r="A25" s="1"/>
      <c r="B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3"/>
      <c r="Q25" s="2"/>
      <c r="R25" s="2"/>
      <c r="S25" s="2"/>
      <c r="T25" s="2"/>
      <c r="U25" s="2"/>
      <c r="V25" s="2"/>
      <c r="W25" s="3"/>
      <c r="X25" s="2"/>
      <c r="Y25" s="2"/>
      <c r="Z25" s="2"/>
      <c r="AA25" s="2"/>
      <c r="AB25" s="2"/>
      <c r="AC25" s="2"/>
      <c r="AD25" s="3"/>
      <c r="AE25" s="2"/>
      <c r="AF25" s="2"/>
      <c r="AG25" s="2"/>
      <c r="AH25" s="2"/>
      <c r="AI25" s="2"/>
      <c r="AJ25" s="2"/>
      <c r="AK25" s="3"/>
      <c r="AL25" s="2"/>
      <c r="AM25" s="2"/>
      <c r="AU25" s="4"/>
    </row>
    <row r="26" spans="1:47" ht="20.100000000000001" customHeight="1" x14ac:dyDescent="0.2">
      <c r="A26" s="1"/>
      <c r="B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3"/>
      <c r="Q26" s="2"/>
      <c r="R26" s="2"/>
      <c r="S26" s="2"/>
      <c r="T26" s="2"/>
      <c r="U26" s="2"/>
      <c r="V26" s="2"/>
      <c r="W26" s="3"/>
      <c r="X26" s="2"/>
      <c r="Y26" s="2"/>
      <c r="Z26" s="2"/>
      <c r="AA26" s="2"/>
      <c r="AB26" s="2"/>
      <c r="AC26" s="2"/>
      <c r="AD26" s="3"/>
      <c r="AE26" s="2"/>
      <c r="AF26" s="2"/>
      <c r="AG26" s="2"/>
      <c r="AI26" s="2"/>
      <c r="AJ26" s="2"/>
      <c r="AK26" s="3"/>
      <c r="AL26" s="2"/>
      <c r="AM26" s="2"/>
      <c r="AN26" s="2"/>
      <c r="AO26" s="2"/>
      <c r="AP26" s="2"/>
      <c r="AQ26" s="2"/>
      <c r="AR26" s="2"/>
      <c r="AS26" s="3"/>
      <c r="AT26" s="2"/>
      <c r="AU26" s="4"/>
    </row>
    <row r="27" spans="1:47" ht="20.100000000000001" customHeight="1" x14ac:dyDescent="0.2">
      <c r="A27" s="1"/>
      <c r="B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"/>
      <c r="Q27" s="2"/>
      <c r="R27" s="2"/>
      <c r="S27" s="2"/>
      <c r="T27" s="2"/>
      <c r="U27" s="2"/>
      <c r="V27" s="2"/>
      <c r="W27" s="3"/>
      <c r="X27" s="2"/>
      <c r="Y27" s="2"/>
      <c r="Z27" s="2"/>
      <c r="AA27" s="2"/>
      <c r="AB27" s="2"/>
      <c r="AC27" s="2"/>
      <c r="AD27" s="3"/>
      <c r="AE27" s="2"/>
      <c r="AF27" s="2"/>
      <c r="AG27" s="2"/>
      <c r="AH27" s="2"/>
      <c r="AI27" s="2"/>
      <c r="AJ27" s="2"/>
      <c r="AK27" s="3"/>
      <c r="AL27" s="2"/>
      <c r="AM27" s="2"/>
      <c r="AU27" s="4"/>
    </row>
    <row r="28" spans="1:47" ht="20.100000000000001" customHeight="1" x14ac:dyDescent="0.2">
      <c r="A28" s="1"/>
      <c r="B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/>
      <c r="Q28" s="2"/>
      <c r="R28" s="2"/>
      <c r="S28" s="2"/>
      <c r="T28" s="2"/>
      <c r="U28" s="2"/>
      <c r="V28" s="2"/>
      <c r="W28" s="3"/>
      <c r="X28" s="2"/>
      <c r="Y28" s="2"/>
      <c r="Z28" s="2"/>
      <c r="AA28" s="2"/>
      <c r="AB28" s="2"/>
      <c r="AC28" s="2"/>
      <c r="AD28" s="3"/>
      <c r="AE28" s="2"/>
      <c r="AF28" s="2"/>
      <c r="AG28" s="2"/>
      <c r="AH28" s="2"/>
      <c r="AI28" s="2"/>
      <c r="AJ28" s="2"/>
      <c r="AK28" s="3"/>
      <c r="AL28" s="2"/>
      <c r="AM28" s="2"/>
      <c r="AU28" s="4"/>
    </row>
    <row r="29" spans="1:47" ht="20.100000000000001" customHeight="1" x14ac:dyDescent="0.2">
      <c r="A29" s="1"/>
      <c r="B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3"/>
      <c r="Q29" s="2"/>
      <c r="R29" s="2"/>
      <c r="S29" s="2"/>
      <c r="T29" s="2"/>
      <c r="U29" s="2"/>
      <c r="V29" s="2"/>
      <c r="W29" s="3"/>
      <c r="X29" s="2"/>
      <c r="Y29" s="2"/>
      <c r="Z29" s="2"/>
      <c r="AA29" s="2"/>
      <c r="AB29" s="2"/>
      <c r="AC29" s="2"/>
      <c r="AD29" s="3"/>
      <c r="AE29" s="2"/>
      <c r="AF29" s="2"/>
      <c r="AG29" s="2"/>
      <c r="AH29" s="2"/>
      <c r="AI29" s="2"/>
      <c r="AJ29" s="2"/>
      <c r="AK29" s="3"/>
      <c r="AL29" s="2"/>
      <c r="AM29" s="2"/>
      <c r="AN29" s="2"/>
      <c r="AO29" s="2"/>
      <c r="AP29" s="2"/>
      <c r="AQ29" s="2"/>
      <c r="AR29" s="2"/>
      <c r="AS29" s="3"/>
      <c r="AT29" s="2"/>
      <c r="AU29" s="4"/>
    </row>
    <row r="30" spans="1:47" ht="20.100000000000001" customHeight="1" x14ac:dyDescent="0.2">
      <c r="A30" s="1"/>
      <c r="B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3"/>
      <c r="Q30" s="2"/>
      <c r="R30" s="2"/>
      <c r="S30" s="2"/>
      <c r="T30" s="2"/>
      <c r="U30" s="2"/>
      <c r="V30" s="2"/>
      <c r="W30" s="3"/>
      <c r="X30" s="2"/>
      <c r="Y30" s="2"/>
      <c r="Z30" s="2"/>
      <c r="AA30" s="2"/>
      <c r="AB30" s="2"/>
      <c r="AC30" s="2"/>
      <c r="AD30" s="3"/>
      <c r="AE30" s="2"/>
      <c r="AF30" s="2"/>
      <c r="AG30" s="2"/>
      <c r="AH30" s="2"/>
      <c r="AI30" s="2"/>
      <c r="AJ30" s="2"/>
      <c r="AK30" s="3"/>
      <c r="AL30" s="2"/>
      <c r="AM30" s="2"/>
      <c r="AU30" s="4"/>
    </row>
    <row r="31" spans="1:47" ht="20.100000000000001" customHeight="1" x14ac:dyDescent="0.2">
      <c r="A31" s="1"/>
      <c r="B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3"/>
      <c r="Q31" s="2"/>
      <c r="R31" s="2"/>
      <c r="S31" s="2"/>
      <c r="T31" s="2"/>
      <c r="U31" s="2"/>
      <c r="V31" s="2"/>
      <c r="W31" s="3"/>
      <c r="X31" s="2"/>
      <c r="Y31" s="2"/>
      <c r="Z31" s="2"/>
      <c r="AA31" s="2"/>
      <c r="AB31" s="2"/>
      <c r="AC31" s="2"/>
      <c r="AD31" s="3"/>
      <c r="AE31" s="2"/>
      <c r="AF31" s="2"/>
      <c r="AG31" s="2"/>
      <c r="AH31" s="2"/>
      <c r="AI31" s="2"/>
      <c r="AJ31" s="2"/>
      <c r="AK31" s="3"/>
      <c r="AL31" s="2"/>
      <c r="AM31" s="2"/>
      <c r="AU31" s="4"/>
    </row>
    <row r="32" spans="1:47" ht="20.100000000000001" customHeight="1" x14ac:dyDescent="0.2">
      <c r="A32" s="1"/>
      <c r="B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3"/>
      <c r="Q32" s="2"/>
      <c r="R32" s="2"/>
      <c r="S32" s="2"/>
      <c r="T32" s="2"/>
      <c r="U32" s="2"/>
      <c r="V32" s="2"/>
      <c r="W32" s="3"/>
      <c r="X32" s="2"/>
      <c r="Y32" s="2"/>
      <c r="Z32" s="2"/>
      <c r="AA32" s="2"/>
      <c r="AB32" s="2"/>
      <c r="AC32" s="2"/>
      <c r="AD32" s="3"/>
      <c r="AE32" s="2"/>
      <c r="AF32" s="2"/>
      <c r="AG32" s="2"/>
      <c r="AH32" s="2"/>
      <c r="AI32" s="2"/>
      <c r="AJ32" s="2"/>
      <c r="AK32" s="3"/>
      <c r="AL32" s="2"/>
      <c r="AM32" s="2"/>
      <c r="AN32" s="2"/>
      <c r="AO32" s="2"/>
      <c r="AP32" s="2"/>
      <c r="AQ32" s="2"/>
      <c r="AR32" s="2"/>
      <c r="AS32" s="3"/>
      <c r="AT32" s="2"/>
      <c r="AU32" s="4"/>
    </row>
    <row r="33" spans="1:47" ht="20.100000000000001" customHeight="1" x14ac:dyDescent="0.2">
      <c r="A33" s="1"/>
      <c r="B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3"/>
      <c r="Q33" s="2"/>
      <c r="R33" s="2"/>
      <c r="S33" s="2"/>
      <c r="T33" s="2"/>
      <c r="U33" s="2"/>
      <c r="V33" s="2"/>
      <c r="W33" s="3"/>
      <c r="X33" s="2"/>
      <c r="Y33" s="2"/>
      <c r="Z33" s="2"/>
      <c r="AA33" s="2"/>
      <c r="AB33" s="2"/>
      <c r="AC33" s="2"/>
      <c r="AD33" s="3"/>
      <c r="AE33" s="2"/>
      <c r="AF33" s="2"/>
      <c r="AG33" s="2"/>
      <c r="AH33" s="2"/>
      <c r="AI33" s="2"/>
      <c r="AJ33" s="2"/>
      <c r="AK33" s="3"/>
      <c r="AL33" s="2"/>
      <c r="AM33" s="2"/>
      <c r="AU33" s="4"/>
    </row>
    <row r="34" spans="1:47" ht="20.100000000000001" customHeight="1" x14ac:dyDescent="0.2">
      <c r="A34" s="1"/>
      <c r="B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2"/>
      <c r="R34" s="2"/>
      <c r="S34" s="2"/>
      <c r="T34" s="2"/>
      <c r="U34" s="2"/>
      <c r="V34" s="2"/>
      <c r="W34" s="3"/>
      <c r="X34" s="2"/>
      <c r="Y34" s="2"/>
      <c r="Z34" s="2"/>
      <c r="AA34" s="2"/>
      <c r="AB34" s="2"/>
      <c r="AC34" s="2"/>
      <c r="AD34" s="3"/>
      <c r="AE34" s="2"/>
      <c r="AF34" s="2"/>
      <c r="AG34" s="2"/>
      <c r="AH34" s="2"/>
      <c r="AI34" s="2"/>
      <c r="AJ34" s="2"/>
      <c r="AK34" s="3"/>
      <c r="AL34" s="2"/>
      <c r="AM34" s="2"/>
      <c r="AU34" s="4"/>
    </row>
    <row r="39" spans="1:47" ht="20.100000000000001" customHeight="1" x14ac:dyDescent="0.2">
      <c r="A39" s="1"/>
      <c r="B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3"/>
      <c r="Q39" s="2"/>
      <c r="R39" s="2"/>
      <c r="S39" s="2"/>
      <c r="T39" s="2"/>
      <c r="U39" s="2"/>
      <c r="V39" s="2"/>
      <c r="W39" s="3"/>
      <c r="X39" s="2"/>
      <c r="Y39" s="2"/>
      <c r="Z39" s="2"/>
      <c r="AA39" s="2"/>
      <c r="AB39" s="2"/>
      <c r="AC39" s="2"/>
      <c r="AD39" s="3"/>
      <c r="AE39" s="2"/>
      <c r="AM39" s="2"/>
      <c r="AU39" s="4"/>
    </row>
    <row r="44" spans="1:47" ht="20.100000000000001" customHeight="1" x14ac:dyDescent="0.2">
      <c r="A44" s="1"/>
      <c r="B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2"/>
      <c r="R44" s="2"/>
      <c r="S44" s="2"/>
      <c r="T44" s="2"/>
      <c r="U44" s="2"/>
      <c r="V44" s="2"/>
      <c r="W44" s="3"/>
      <c r="X44" s="2"/>
      <c r="Y44" s="2"/>
      <c r="Z44" s="2"/>
      <c r="AA44" s="2"/>
      <c r="AB44" s="2"/>
      <c r="AC44" s="2"/>
      <c r="AD44" s="3"/>
      <c r="AE44" s="2"/>
      <c r="AF44" s="2"/>
      <c r="AG44" s="2"/>
      <c r="AH44" s="2"/>
      <c r="AI44" s="2"/>
      <c r="AJ44" s="2"/>
      <c r="AK44" s="3"/>
      <c r="AL44" s="2"/>
      <c r="AM44" s="2"/>
      <c r="AN44" s="2"/>
      <c r="AO44" s="2"/>
      <c r="AP44" s="2"/>
      <c r="AQ44" s="2"/>
      <c r="AR44" s="2"/>
      <c r="AS44" s="3"/>
      <c r="AT44" s="2"/>
      <c r="AU44" s="4"/>
    </row>
    <row r="45" spans="1:47" ht="20.100000000000001" customHeight="1" x14ac:dyDescent="0.2">
      <c r="A45" s="1"/>
      <c r="B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Q45" s="2"/>
      <c r="R45" s="2"/>
      <c r="S45" s="2"/>
      <c r="T45" s="2"/>
      <c r="U45" s="2"/>
      <c r="V45" s="2"/>
      <c r="W45" s="3"/>
      <c r="X45" s="2"/>
      <c r="Y45" s="2"/>
      <c r="Z45" s="2"/>
      <c r="AA45" s="2"/>
      <c r="AB45" s="2"/>
      <c r="AC45" s="2"/>
      <c r="AD45" s="3"/>
      <c r="AE45" s="2"/>
      <c r="AF45" s="2"/>
      <c r="AG45" s="2"/>
      <c r="AH45" s="2"/>
      <c r="AI45" s="2"/>
      <c r="AJ45" s="2"/>
      <c r="AK45" s="3"/>
      <c r="AL45" s="2"/>
      <c r="AM45" s="2"/>
      <c r="AU45" s="4"/>
    </row>
    <row r="46" spans="1:47" ht="20.100000000000001" customHeight="1" x14ac:dyDescent="0.2">
      <c r="A46" s="1"/>
      <c r="B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2"/>
      <c r="R46" s="2"/>
      <c r="S46" s="2"/>
      <c r="T46" s="2"/>
      <c r="U46" s="2"/>
      <c r="V46" s="2"/>
      <c r="W46" s="3"/>
      <c r="X46" s="2"/>
      <c r="Y46" s="2"/>
      <c r="Z46" s="2"/>
      <c r="AA46" s="2"/>
      <c r="AB46" s="2"/>
      <c r="AC46" s="2"/>
      <c r="AD46" s="3"/>
      <c r="AE46" s="2"/>
      <c r="AF46" s="2"/>
      <c r="AG46" s="2"/>
      <c r="AH46" s="2"/>
      <c r="AI46" s="2"/>
      <c r="AJ46" s="2"/>
      <c r="AK46" s="3"/>
      <c r="AL46" s="2"/>
      <c r="AM46" s="2"/>
      <c r="AU46" s="4"/>
    </row>
    <row r="47" spans="1:47" ht="20.100000000000001" customHeight="1" x14ac:dyDescent="0.2">
      <c r="A47" s="1"/>
      <c r="B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2"/>
      <c r="R47" s="2"/>
      <c r="S47" s="2"/>
      <c r="T47" s="2"/>
      <c r="U47" s="2"/>
      <c r="V47" s="2"/>
      <c r="W47" s="3"/>
      <c r="X47" s="2"/>
      <c r="Y47" s="2"/>
      <c r="Z47" s="2"/>
      <c r="AA47" s="2"/>
      <c r="AB47" s="2"/>
      <c r="AC47" s="2"/>
      <c r="AD47" s="3"/>
      <c r="AE47" s="2"/>
      <c r="AF47" s="2"/>
      <c r="AG47" s="2"/>
      <c r="AH47" s="2"/>
      <c r="AI47" s="2"/>
      <c r="AJ47" s="2"/>
      <c r="AK47" s="3"/>
      <c r="AL47" s="2"/>
      <c r="AM47" s="2"/>
      <c r="AN47" s="2"/>
      <c r="AO47" s="2"/>
      <c r="AP47" s="2"/>
      <c r="AQ47" s="2"/>
      <c r="AR47" s="2"/>
      <c r="AS47" s="3"/>
      <c r="AT47" s="2"/>
      <c r="AU47" s="4"/>
    </row>
    <row r="48" spans="1:47" ht="20.100000000000001" customHeight="1" x14ac:dyDescent="0.2">
      <c r="A48" s="1"/>
      <c r="B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2"/>
      <c r="R48" s="2"/>
      <c r="S48" s="2"/>
      <c r="T48" s="2"/>
      <c r="U48" s="2"/>
      <c r="V48" s="2"/>
      <c r="W48" s="3"/>
      <c r="X48" s="2"/>
      <c r="Y48" s="2"/>
      <c r="Z48" s="2"/>
      <c r="AA48" s="2"/>
      <c r="AB48" s="2"/>
      <c r="AC48" s="2"/>
      <c r="AD48" s="3"/>
      <c r="AE48" s="2"/>
      <c r="AF48" s="2"/>
      <c r="AG48" s="2"/>
      <c r="AH48" s="2"/>
      <c r="AI48" s="2"/>
      <c r="AJ48" s="2"/>
      <c r="AK48" s="3"/>
      <c r="AL48" s="2"/>
      <c r="AM48" s="2"/>
      <c r="AU48" s="4"/>
    </row>
    <row r="49" spans="1:47" ht="20.100000000000001" customHeight="1" x14ac:dyDescent="0.2">
      <c r="A49" s="1"/>
      <c r="B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2"/>
      <c r="R49" s="2"/>
      <c r="S49" s="2"/>
      <c r="T49" s="2"/>
      <c r="U49" s="2"/>
      <c r="V49" s="2"/>
      <c r="W49" s="3"/>
      <c r="X49" s="2"/>
      <c r="Y49" s="2"/>
      <c r="Z49" s="2"/>
      <c r="AA49" s="2"/>
      <c r="AB49" s="2"/>
      <c r="AC49" s="2"/>
      <c r="AD49" s="3"/>
      <c r="AE49" s="2"/>
      <c r="AF49" s="2"/>
      <c r="AG49" s="2"/>
      <c r="AH49" s="2"/>
      <c r="AI49" s="2"/>
      <c r="AJ49" s="2"/>
      <c r="AK49" s="3"/>
      <c r="AL49" s="2"/>
      <c r="AM49" s="2"/>
      <c r="AU49" s="4"/>
    </row>
    <row r="50" spans="1:47" ht="20.100000000000001" customHeight="1" x14ac:dyDescent="0.2">
      <c r="A50" s="1"/>
      <c r="B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2"/>
      <c r="R50" s="2"/>
      <c r="S50" s="2"/>
      <c r="T50" s="2"/>
      <c r="U50" s="2"/>
      <c r="V50" s="2"/>
      <c r="W50" s="3"/>
      <c r="X50" s="2"/>
      <c r="AM50" s="2"/>
      <c r="AU50" s="4"/>
    </row>
    <row r="51" spans="1:47" ht="20.100000000000001" customHeight="1" x14ac:dyDescent="0.2">
      <c r="A51" s="1"/>
      <c r="B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2"/>
      <c r="R51" s="2"/>
      <c r="S51" s="2"/>
      <c r="T51" s="2"/>
      <c r="U51" s="2"/>
      <c r="V51" s="2"/>
      <c r="W51" s="3"/>
      <c r="X51" s="2"/>
      <c r="AM51" s="2"/>
      <c r="AU51" s="4"/>
    </row>
  </sheetData>
  <hyperlinks>
    <hyperlink ref="AU5" r:id="rId1"/>
    <hyperlink ref="AU6" r:id="rId2"/>
    <hyperlink ref="AU4" r:id="rId3"/>
    <hyperlink ref="AU2" r:id="rId4"/>
    <hyperlink ref="AU3" r:id="rId5"/>
    <hyperlink ref="J2" r:id="rId6"/>
    <hyperlink ref="J3:J12" r:id="rId7" display="mario.es.ortega@gmail.com"/>
  </hyperlinks>
  <pageMargins left="0.7" right="0.7" top="0.75" bottom="0.75" header="0.3" footer="0.3"/>
  <pageSetup orientation="portrait" r:id="rId8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C5"/>
  <sheetViews>
    <sheetView workbookViewId="0">
      <selection activeCell="D10" sqref="D10"/>
    </sheetView>
  </sheetViews>
  <sheetFormatPr baseColWidth="10" defaultColWidth="12.5703125" defaultRowHeight="15.75" customHeight="1" x14ac:dyDescent="0.2"/>
  <sheetData>
    <row r="2" spans="2:3" ht="15.75" customHeight="1" x14ac:dyDescent="0.25">
      <c r="B2" s="10" t="s">
        <v>55</v>
      </c>
      <c r="C2" s="9">
        <f>COUNTIF(Form_Responses[Categoría a participar],"Escenario")</f>
        <v>2</v>
      </c>
    </row>
    <row r="3" spans="2:3" ht="15.75" customHeight="1" x14ac:dyDescent="0.25">
      <c r="B3" s="10" t="s">
        <v>71</v>
      </c>
      <c r="C3" s="9">
        <f>COUNTIF(Form_Responses[Categoría a participar],"Línea")</f>
        <v>2</v>
      </c>
    </row>
    <row r="4" spans="2:3" ht="15.75" customHeight="1" x14ac:dyDescent="0.25">
      <c r="B4" s="10" t="s">
        <v>47</v>
      </c>
      <c r="C4" s="9">
        <f>COUNTIF(Form_Responses[Categoría a participar],"Laberinto")</f>
        <v>1</v>
      </c>
    </row>
    <row r="5" spans="2:3" ht="15.75" customHeight="1" x14ac:dyDescent="0.25">
      <c r="B5" s="10" t="s">
        <v>467</v>
      </c>
      <c r="C5" s="9">
        <f>SUM(C2:C4)</f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U14"/>
  <sheetViews>
    <sheetView workbookViewId="0"/>
  </sheetViews>
  <sheetFormatPr baseColWidth="10" defaultColWidth="12.5703125" defaultRowHeight="15.75" customHeight="1" x14ac:dyDescent="0.2"/>
  <sheetData>
    <row r="1" spans="1:47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6</v>
      </c>
      <c r="M1" s="5" t="s">
        <v>7</v>
      </c>
      <c r="N1" s="5" t="s">
        <v>5</v>
      </c>
      <c r="O1" s="5" t="s">
        <v>14</v>
      </c>
      <c r="P1" s="5" t="s">
        <v>15</v>
      </c>
      <c r="Q1" s="5" t="s">
        <v>16</v>
      </c>
      <c r="R1" s="5" t="s">
        <v>10</v>
      </c>
      <c r="S1" s="5" t="s">
        <v>6</v>
      </c>
      <c r="T1" s="5" t="s">
        <v>7</v>
      </c>
      <c r="U1" s="5" t="s">
        <v>5</v>
      </c>
      <c r="V1" s="5" t="s">
        <v>14</v>
      </c>
      <c r="W1" s="5" t="s">
        <v>15</v>
      </c>
      <c r="X1" s="5" t="s">
        <v>16</v>
      </c>
      <c r="Y1" s="5" t="s">
        <v>10</v>
      </c>
      <c r="Z1" s="5" t="s">
        <v>6</v>
      </c>
      <c r="AA1" s="5" t="s">
        <v>7</v>
      </c>
      <c r="AB1" s="5" t="s">
        <v>5</v>
      </c>
      <c r="AC1" s="5" t="s">
        <v>14</v>
      </c>
      <c r="AD1" s="5" t="s">
        <v>15</v>
      </c>
      <c r="AE1" s="5" t="s">
        <v>16</v>
      </c>
      <c r="AF1" s="5" t="s">
        <v>10</v>
      </c>
      <c r="AG1" s="5" t="s">
        <v>6</v>
      </c>
      <c r="AH1" s="5" t="s">
        <v>7</v>
      </c>
      <c r="AI1" s="5" t="s">
        <v>5</v>
      </c>
      <c r="AJ1" s="5" t="s">
        <v>14</v>
      </c>
      <c r="AK1" s="5" t="s">
        <v>15</v>
      </c>
      <c r="AL1" s="5" t="s">
        <v>16</v>
      </c>
      <c r="AM1" s="5" t="s">
        <v>38</v>
      </c>
      <c r="AN1" s="5" t="s">
        <v>10</v>
      </c>
      <c r="AO1" s="5" t="s">
        <v>6</v>
      </c>
      <c r="AP1" s="5" t="s">
        <v>7</v>
      </c>
      <c r="AQ1" s="5" t="s">
        <v>5</v>
      </c>
      <c r="AR1" s="5" t="s">
        <v>14</v>
      </c>
      <c r="AS1" s="5" t="s">
        <v>15</v>
      </c>
      <c r="AT1" s="5" t="s">
        <v>16</v>
      </c>
      <c r="AU1" s="5" t="s">
        <v>46</v>
      </c>
    </row>
    <row r="2" spans="1:47" x14ac:dyDescent="0.2">
      <c r="A2" s="6">
        <v>46065.80955341435</v>
      </c>
      <c r="B2" s="7" t="s">
        <v>77</v>
      </c>
      <c r="D2" s="7" t="s">
        <v>78</v>
      </c>
      <c r="E2" s="7" t="s">
        <v>71</v>
      </c>
      <c r="F2" s="7" t="s">
        <v>79</v>
      </c>
      <c r="G2" s="7" t="s">
        <v>80</v>
      </c>
      <c r="H2" s="7" t="s">
        <v>81</v>
      </c>
      <c r="I2" s="7">
        <v>8126908090</v>
      </c>
      <c r="J2" s="7" t="s">
        <v>82</v>
      </c>
      <c r="K2" s="7">
        <v>2244538</v>
      </c>
      <c r="L2" s="7" t="s">
        <v>83</v>
      </c>
      <c r="M2" s="7" t="s">
        <v>84</v>
      </c>
      <c r="N2" s="7" t="s">
        <v>85</v>
      </c>
      <c r="O2" s="7" t="s">
        <v>52</v>
      </c>
      <c r="P2" s="8">
        <v>39880</v>
      </c>
      <c r="Q2" s="7" t="s">
        <v>86</v>
      </c>
      <c r="R2" s="7">
        <v>2244963</v>
      </c>
      <c r="S2" s="7" t="s">
        <v>87</v>
      </c>
      <c r="T2" s="7" t="s">
        <v>88</v>
      </c>
      <c r="U2" s="7" t="s">
        <v>89</v>
      </c>
      <c r="V2" s="7" t="s">
        <v>52</v>
      </c>
      <c r="W2" s="8">
        <v>39926</v>
      </c>
      <c r="X2" s="7" t="s">
        <v>90</v>
      </c>
      <c r="Y2" s="7">
        <v>2293360</v>
      </c>
      <c r="Z2" s="7" t="s">
        <v>91</v>
      </c>
      <c r="AA2" s="7" t="s">
        <v>92</v>
      </c>
      <c r="AB2" s="7" t="s">
        <v>93</v>
      </c>
      <c r="AC2" s="7" t="s">
        <v>59</v>
      </c>
      <c r="AD2" s="8">
        <v>40523</v>
      </c>
      <c r="AE2" s="7" t="s">
        <v>94</v>
      </c>
      <c r="AF2" s="7">
        <v>2293843</v>
      </c>
      <c r="AG2" s="7" t="s">
        <v>95</v>
      </c>
      <c r="AH2" s="7" t="s">
        <v>96</v>
      </c>
      <c r="AI2" s="7" t="s">
        <v>97</v>
      </c>
      <c r="AJ2" s="7" t="s">
        <v>59</v>
      </c>
      <c r="AK2" s="8">
        <v>40266</v>
      </c>
      <c r="AL2" s="7" t="s">
        <v>98</v>
      </c>
      <c r="AM2" s="7" t="s">
        <v>54</v>
      </c>
      <c r="AU2" s="7" t="s">
        <v>99</v>
      </c>
    </row>
    <row r="3" spans="1:47" x14ac:dyDescent="0.2">
      <c r="A3" s="6">
        <v>46065.817240023149</v>
      </c>
      <c r="B3" s="7" t="s">
        <v>77</v>
      </c>
      <c r="D3" s="7" t="s">
        <v>100</v>
      </c>
      <c r="E3" s="7" t="s">
        <v>47</v>
      </c>
      <c r="F3" s="7" t="s">
        <v>79</v>
      </c>
      <c r="G3" s="7" t="s">
        <v>80</v>
      </c>
      <c r="H3" s="7" t="s">
        <v>81</v>
      </c>
      <c r="I3" s="7">
        <v>8126908090</v>
      </c>
      <c r="J3" s="7" t="s">
        <v>82</v>
      </c>
      <c r="K3" s="7">
        <v>2291902</v>
      </c>
      <c r="L3" s="7" t="s">
        <v>101</v>
      </c>
      <c r="M3" s="7" t="s">
        <v>102</v>
      </c>
      <c r="N3" s="7" t="s">
        <v>103</v>
      </c>
      <c r="O3" s="7" t="s">
        <v>59</v>
      </c>
      <c r="P3" s="8">
        <v>40541</v>
      </c>
      <c r="Q3" s="7" t="s">
        <v>104</v>
      </c>
      <c r="R3" s="7">
        <v>2293459</v>
      </c>
      <c r="S3" s="7" t="s">
        <v>105</v>
      </c>
      <c r="T3" s="7" t="s">
        <v>106</v>
      </c>
      <c r="U3" s="7" t="s">
        <v>107</v>
      </c>
      <c r="V3" s="7" t="s">
        <v>59</v>
      </c>
      <c r="W3" s="8">
        <v>40376</v>
      </c>
      <c r="X3" s="7" t="s">
        <v>108</v>
      </c>
      <c r="Y3" s="7">
        <v>2291847</v>
      </c>
      <c r="Z3" s="7" t="s">
        <v>109</v>
      </c>
      <c r="AA3" s="7" t="s">
        <v>110</v>
      </c>
      <c r="AB3" s="7" t="s">
        <v>111</v>
      </c>
      <c r="AC3" s="7" t="s">
        <v>59</v>
      </c>
      <c r="AD3" s="8">
        <v>40415</v>
      </c>
      <c r="AE3" s="7" t="s">
        <v>112</v>
      </c>
      <c r="AF3" s="7">
        <v>2292039</v>
      </c>
      <c r="AG3" s="7" t="s">
        <v>113</v>
      </c>
      <c r="AH3" s="7" t="s">
        <v>114</v>
      </c>
      <c r="AI3" s="7" t="s">
        <v>115</v>
      </c>
      <c r="AJ3" s="7" t="s">
        <v>59</v>
      </c>
      <c r="AK3" s="8">
        <v>40384</v>
      </c>
      <c r="AL3" s="7" t="s">
        <v>116</v>
      </c>
      <c r="AM3" s="7" t="s">
        <v>54</v>
      </c>
      <c r="AU3" s="7" t="s">
        <v>117</v>
      </c>
    </row>
    <row r="4" spans="1:47" x14ac:dyDescent="0.2">
      <c r="A4" s="6">
        <v>46065.82453006944</v>
      </c>
      <c r="B4" s="7" t="s">
        <v>77</v>
      </c>
      <c r="D4" s="7" t="s">
        <v>139</v>
      </c>
      <c r="E4" s="7" t="s">
        <v>55</v>
      </c>
      <c r="F4" s="7" t="s">
        <v>79</v>
      </c>
      <c r="G4" s="7" t="s">
        <v>80</v>
      </c>
      <c r="H4" s="7" t="s">
        <v>81</v>
      </c>
      <c r="I4" s="7">
        <v>8126908090</v>
      </c>
      <c r="J4" s="7" t="s">
        <v>82</v>
      </c>
      <c r="K4" s="7">
        <v>2244761</v>
      </c>
      <c r="L4" s="7" t="s">
        <v>140</v>
      </c>
      <c r="M4" s="7" t="s">
        <v>141</v>
      </c>
      <c r="N4" s="7" t="s">
        <v>142</v>
      </c>
      <c r="O4" s="7" t="s">
        <v>52</v>
      </c>
      <c r="P4" s="8">
        <v>39899</v>
      </c>
      <c r="Q4" s="7" t="s">
        <v>143</v>
      </c>
      <c r="R4" s="7">
        <v>2245057</v>
      </c>
      <c r="S4" s="7" t="s">
        <v>130</v>
      </c>
      <c r="T4" s="7" t="s">
        <v>144</v>
      </c>
      <c r="U4" s="7" t="s">
        <v>145</v>
      </c>
      <c r="V4" s="7" t="s">
        <v>52</v>
      </c>
      <c r="W4" s="8">
        <v>40018</v>
      </c>
      <c r="X4" s="7" t="s">
        <v>146</v>
      </c>
      <c r="Y4" s="7">
        <v>2293223</v>
      </c>
      <c r="Z4" s="7" t="s">
        <v>147</v>
      </c>
      <c r="AA4" s="7" t="s">
        <v>148</v>
      </c>
      <c r="AB4" s="7" t="s">
        <v>149</v>
      </c>
      <c r="AC4" s="7" t="s">
        <v>59</v>
      </c>
      <c r="AD4" s="8">
        <v>40351</v>
      </c>
      <c r="AE4" s="7" t="s">
        <v>150</v>
      </c>
      <c r="AF4" s="7">
        <v>2292527</v>
      </c>
      <c r="AG4" s="7" t="s">
        <v>151</v>
      </c>
      <c r="AH4" s="7" t="s">
        <v>152</v>
      </c>
      <c r="AI4" s="7" t="s">
        <v>153</v>
      </c>
      <c r="AJ4" s="7" t="s">
        <v>59</v>
      </c>
      <c r="AK4" s="8">
        <v>40411</v>
      </c>
      <c r="AL4" s="7" t="s">
        <v>154</v>
      </c>
      <c r="AM4" s="7" t="s">
        <v>60</v>
      </c>
      <c r="AN4" s="7">
        <v>2293358</v>
      </c>
      <c r="AO4" s="7" t="s">
        <v>155</v>
      </c>
      <c r="AP4" s="7" t="s">
        <v>129</v>
      </c>
      <c r="AQ4" s="7" t="s">
        <v>156</v>
      </c>
      <c r="AR4" s="7" t="s">
        <v>59</v>
      </c>
      <c r="AS4" s="8">
        <v>40456</v>
      </c>
      <c r="AT4" s="7" t="s">
        <v>157</v>
      </c>
      <c r="AU4" s="7" t="s">
        <v>158</v>
      </c>
    </row>
    <row r="5" spans="1:47" x14ac:dyDescent="0.2">
      <c r="A5" s="6">
        <v>46065.72060119213</v>
      </c>
      <c r="B5" s="7" t="s">
        <v>159</v>
      </c>
      <c r="D5" s="7" t="s">
        <v>160</v>
      </c>
      <c r="E5" s="7" t="s">
        <v>47</v>
      </c>
      <c r="F5" s="7" t="s">
        <v>161</v>
      </c>
      <c r="G5" s="7" t="s">
        <v>162</v>
      </c>
      <c r="H5" s="7" t="s">
        <v>126</v>
      </c>
      <c r="I5" s="7">
        <v>8110506317</v>
      </c>
      <c r="J5" s="7" t="s">
        <v>163</v>
      </c>
      <c r="K5" s="7">
        <v>2294408</v>
      </c>
      <c r="L5" s="7" t="s">
        <v>164</v>
      </c>
      <c r="M5" s="7" t="s">
        <v>114</v>
      </c>
      <c r="N5" s="7" t="s">
        <v>165</v>
      </c>
      <c r="O5" s="7" t="s">
        <v>59</v>
      </c>
      <c r="P5" s="8">
        <v>40208</v>
      </c>
      <c r="Q5" s="7" t="s">
        <v>166</v>
      </c>
      <c r="R5" s="7">
        <v>2294422</v>
      </c>
      <c r="S5" s="7" t="s">
        <v>167</v>
      </c>
      <c r="T5" s="7" t="s">
        <v>168</v>
      </c>
      <c r="U5" s="7" t="s">
        <v>169</v>
      </c>
      <c r="V5" s="7" t="s">
        <v>59</v>
      </c>
      <c r="W5" s="8">
        <v>40462</v>
      </c>
      <c r="X5" s="7" t="s">
        <v>170</v>
      </c>
      <c r="Y5" s="7">
        <v>2294172</v>
      </c>
      <c r="Z5" s="7" t="s">
        <v>171</v>
      </c>
      <c r="AA5" s="7" t="s">
        <v>57</v>
      </c>
      <c r="AB5" s="7" t="s">
        <v>172</v>
      </c>
      <c r="AC5" s="7" t="s">
        <v>59</v>
      </c>
      <c r="AD5" s="8">
        <v>40540</v>
      </c>
      <c r="AE5" s="7" t="s">
        <v>173</v>
      </c>
      <c r="AF5" s="7">
        <v>2294186</v>
      </c>
      <c r="AG5" s="7" t="s">
        <v>126</v>
      </c>
      <c r="AH5" s="7" t="s">
        <v>168</v>
      </c>
      <c r="AI5" s="7" t="s">
        <v>174</v>
      </c>
      <c r="AJ5" s="7" t="s">
        <v>59</v>
      </c>
      <c r="AK5" s="8">
        <v>40453</v>
      </c>
      <c r="AL5" s="7" t="s">
        <v>175</v>
      </c>
      <c r="AM5" s="7" t="s">
        <v>54</v>
      </c>
      <c r="AU5" s="7" t="s">
        <v>176</v>
      </c>
    </row>
    <row r="6" spans="1:47" x14ac:dyDescent="0.2">
      <c r="A6" s="6">
        <v>46065.785894583329</v>
      </c>
      <c r="B6" s="7" t="s">
        <v>159</v>
      </c>
      <c r="D6" s="7" t="s">
        <v>177</v>
      </c>
      <c r="E6" s="7" t="s">
        <v>71</v>
      </c>
      <c r="F6" s="7" t="s">
        <v>178</v>
      </c>
      <c r="G6" s="7" t="s">
        <v>179</v>
      </c>
      <c r="H6" s="7" t="s">
        <v>180</v>
      </c>
      <c r="I6" s="7">
        <v>8181881065</v>
      </c>
      <c r="J6" s="7" t="s">
        <v>181</v>
      </c>
      <c r="K6" s="7">
        <v>2259190</v>
      </c>
      <c r="L6" s="7" t="s">
        <v>182</v>
      </c>
      <c r="M6" s="7" t="s">
        <v>138</v>
      </c>
      <c r="N6" s="7" t="s">
        <v>183</v>
      </c>
      <c r="O6" s="7" t="s">
        <v>52</v>
      </c>
      <c r="P6" s="8">
        <v>40019</v>
      </c>
      <c r="Q6" s="7" t="s">
        <v>184</v>
      </c>
      <c r="R6" s="7">
        <v>2259386</v>
      </c>
      <c r="S6" s="7" t="s">
        <v>185</v>
      </c>
      <c r="T6" s="7" t="s">
        <v>70</v>
      </c>
      <c r="U6" s="7" t="s">
        <v>186</v>
      </c>
      <c r="V6" s="7" t="s">
        <v>52</v>
      </c>
      <c r="W6" s="8">
        <v>40165</v>
      </c>
      <c r="X6" s="7" t="s">
        <v>187</v>
      </c>
      <c r="Y6" s="7">
        <v>2259562</v>
      </c>
      <c r="Z6" s="7" t="s">
        <v>128</v>
      </c>
      <c r="AA6" s="7" t="s">
        <v>188</v>
      </c>
      <c r="AB6" s="7" t="s">
        <v>189</v>
      </c>
      <c r="AC6" s="7" t="s">
        <v>52</v>
      </c>
      <c r="AD6" s="8">
        <v>39935</v>
      </c>
      <c r="AE6" s="7" t="s">
        <v>190</v>
      </c>
      <c r="AF6" s="7">
        <v>2202397</v>
      </c>
      <c r="AG6" s="7" t="s">
        <v>191</v>
      </c>
      <c r="AH6" s="7" t="s">
        <v>192</v>
      </c>
      <c r="AI6" s="7" t="s">
        <v>193</v>
      </c>
      <c r="AJ6" s="7" t="s">
        <v>131</v>
      </c>
      <c r="AK6" s="8">
        <v>39578</v>
      </c>
      <c r="AL6" s="7" t="s">
        <v>194</v>
      </c>
      <c r="AM6" s="7" t="s">
        <v>54</v>
      </c>
      <c r="AU6" s="7" t="s">
        <v>195</v>
      </c>
    </row>
    <row r="7" spans="1:47" x14ac:dyDescent="0.2">
      <c r="A7" s="6">
        <v>46062.690090324075</v>
      </c>
      <c r="B7" s="7" t="s">
        <v>196</v>
      </c>
      <c r="D7" s="7" t="s">
        <v>197</v>
      </c>
      <c r="E7" s="7" t="s">
        <v>47</v>
      </c>
      <c r="F7" s="7" t="s">
        <v>198</v>
      </c>
      <c r="G7" s="7" t="s">
        <v>199</v>
      </c>
      <c r="H7" s="7" t="s">
        <v>200</v>
      </c>
      <c r="I7" s="7">
        <v>8113474496</v>
      </c>
      <c r="J7" s="7" t="s">
        <v>201</v>
      </c>
      <c r="K7" s="7">
        <v>2233086</v>
      </c>
      <c r="L7" s="7" t="s">
        <v>49</v>
      </c>
      <c r="M7" s="7" t="s">
        <v>202</v>
      </c>
      <c r="N7" s="7" t="s">
        <v>203</v>
      </c>
      <c r="O7" s="7" t="s">
        <v>52</v>
      </c>
      <c r="P7" s="8">
        <v>40058</v>
      </c>
      <c r="Q7" s="7" t="s">
        <v>204</v>
      </c>
      <c r="R7" s="7">
        <v>2233367</v>
      </c>
      <c r="S7" s="7" t="s">
        <v>205</v>
      </c>
      <c r="T7" s="7" t="s">
        <v>206</v>
      </c>
      <c r="U7" s="7" t="s">
        <v>207</v>
      </c>
      <c r="V7" s="7" t="s">
        <v>52</v>
      </c>
      <c r="W7" s="8">
        <v>40166</v>
      </c>
      <c r="X7" s="7" t="s">
        <v>208</v>
      </c>
      <c r="Y7" s="7">
        <v>2262726</v>
      </c>
      <c r="Z7" s="7" t="s">
        <v>209</v>
      </c>
      <c r="AA7" s="7" t="s">
        <v>210</v>
      </c>
      <c r="AB7" s="7" t="s">
        <v>211</v>
      </c>
      <c r="AC7" s="7" t="s">
        <v>52</v>
      </c>
      <c r="AD7" s="8">
        <v>39740</v>
      </c>
      <c r="AE7" s="7" t="s">
        <v>212</v>
      </c>
      <c r="AF7" s="7">
        <v>2262061</v>
      </c>
      <c r="AG7" s="7" t="s">
        <v>213</v>
      </c>
      <c r="AH7" s="7" t="s">
        <v>121</v>
      </c>
      <c r="AI7" s="7" t="s">
        <v>214</v>
      </c>
      <c r="AJ7" s="7" t="s">
        <v>52</v>
      </c>
      <c r="AK7" s="8">
        <v>39963</v>
      </c>
      <c r="AL7" s="7" t="s">
        <v>215</v>
      </c>
      <c r="AM7" s="7" t="s">
        <v>54</v>
      </c>
      <c r="AU7" s="7" t="s">
        <v>216</v>
      </c>
    </row>
    <row r="8" spans="1:47" x14ac:dyDescent="0.2">
      <c r="A8" s="6">
        <v>46062.700374097221</v>
      </c>
      <c r="B8" s="7" t="s">
        <v>196</v>
      </c>
      <c r="D8" s="7" t="s">
        <v>217</v>
      </c>
      <c r="E8" s="7" t="s">
        <v>55</v>
      </c>
      <c r="F8" s="7" t="s">
        <v>198</v>
      </c>
      <c r="G8" s="7" t="s">
        <v>199</v>
      </c>
      <c r="H8" s="7" t="s">
        <v>200</v>
      </c>
      <c r="I8" s="7">
        <v>8113474496</v>
      </c>
      <c r="J8" s="7" t="s">
        <v>201</v>
      </c>
      <c r="K8" s="7">
        <v>2282526</v>
      </c>
      <c r="L8" s="7" t="s">
        <v>218</v>
      </c>
      <c r="M8" s="7" t="s">
        <v>219</v>
      </c>
      <c r="N8" s="7" t="s">
        <v>220</v>
      </c>
      <c r="O8" s="7" t="s">
        <v>59</v>
      </c>
      <c r="P8" s="8">
        <v>40443</v>
      </c>
      <c r="Q8" s="7" t="s">
        <v>221</v>
      </c>
      <c r="R8" s="7">
        <v>2282616</v>
      </c>
      <c r="S8" s="7" t="s">
        <v>135</v>
      </c>
      <c r="T8" s="7" t="s">
        <v>222</v>
      </c>
      <c r="U8" s="7" t="s">
        <v>223</v>
      </c>
      <c r="V8" s="7" t="s">
        <v>59</v>
      </c>
      <c r="W8" s="8">
        <v>40318</v>
      </c>
      <c r="X8" s="7" t="s">
        <v>224</v>
      </c>
      <c r="Y8" s="7">
        <v>2312367</v>
      </c>
      <c r="Z8" s="7" t="s">
        <v>225</v>
      </c>
      <c r="AA8" s="7" t="s">
        <v>226</v>
      </c>
      <c r="AB8" s="7" t="s">
        <v>227</v>
      </c>
      <c r="AC8" s="7" t="s">
        <v>59</v>
      </c>
      <c r="AD8" s="8">
        <v>40483</v>
      </c>
      <c r="AE8" s="7" t="s">
        <v>228</v>
      </c>
      <c r="AF8" s="7">
        <v>2283341</v>
      </c>
      <c r="AG8" s="7" t="s">
        <v>229</v>
      </c>
      <c r="AH8" s="7" t="s">
        <v>230</v>
      </c>
      <c r="AI8" s="7" t="s">
        <v>231</v>
      </c>
      <c r="AJ8" s="7" t="s">
        <v>59</v>
      </c>
      <c r="AK8" s="8">
        <v>39926</v>
      </c>
      <c r="AL8" s="7" t="s">
        <v>232</v>
      </c>
      <c r="AM8" s="7" t="s">
        <v>60</v>
      </c>
      <c r="AN8" s="7">
        <v>2283289</v>
      </c>
      <c r="AO8" s="7" t="s">
        <v>233</v>
      </c>
      <c r="AP8" s="7" t="s">
        <v>234</v>
      </c>
      <c r="AQ8" s="7" t="s">
        <v>235</v>
      </c>
      <c r="AR8" s="7" t="s">
        <v>59</v>
      </c>
      <c r="AS8" s="8">
        <v>40303</v>
      </c>
      <c r="AT8" s="7" t="s">
        <v>236</v>
      </c>
      <c r="AU8" s="7" t="s">
        <v>237</v>
      </c>
    </row>
    <row r="9" spans="1:47" x14ac:dyDescent="0.2">
      <c r="A9" s="6">
        <v>46065.395366539349</v>
      </c>
      <c r="B9" s="7" t="s">
        <v>196</v>
      </c>
      <c r="D9" s="7" t="s">
        <v>238</v>
      </c>
      <c r="E9" s="7" t="s">
        <v>71</v>
      </c>
      <c r="F9" s="7" t="s">
        <v>239</v>
      </c>
      <c r="G9" s="7" t="s">
        <v>240</v>
      </c>
      <c r="H9" s="7" t="s">
        <v>241</v>
      </c>
      <c r="I9" s="7">
        <v>8113474496</v>
      </c>
      <c r="J9" s="7" t="s">
        <v>201</v>
      </c>
      <c r="K9" s="7">
        <v>2312840</v>
      </c>
      <c r="L9" s="7" t="s">
        <v>76</v>
      </c>
      <c r="M9" s="7" t="s">
        <v>242</v>
      </c>
      <c r="N9" s="7" t="s">
        <v>243</v>
      </c>
      <c r="O9" s="7" t="s">
        <v>59</v>
      </c>
      <c r="P9" s="8">
        <v>40386</v>
      </c>
      <c r="Q9" s="7" t="s">
        <v>244</v>
      </c>
      <c r="R9" s="7">
        <v>2312938</v>
      </c>
      <c r="S9" s="7" t="s">
        <v>110</v>
      </c>
      <c r="T9" s="7" t="s">
        <v>245</v>
      </c>
      <c r="U9" s="7" t="s">
        <v>246</v>
      </c>
      <c r="V9" s="7" t="s">
        <v>59</v>
      </c>
      <c r="W9" s="8">
        <v>40353</v>
      </c>
      <c r="X9" s="7" t="s">
        <v>247</v>
      </c>
      <c r="Y9" s="7">
        <v>2312939</v>
      </c>
      <c r="Z9" s="7" t="s">
        <v>83</v>
      </c>
      <c r="AA9" s="7" t="s">
        <v>120</v>
      </c>
      <c r="AB9" s="7" t="s">
        <v>248</v>
      </c>
      <c r="AC9" s="7" t="s">
        <v>59</v>
      </c>
      <c r="AD9" s="8">
        <v>40462</v>
      </c>
      <c r="AE9" s="7" t="s">
        <v>249</v>
      </c>
      <c r="AF9" s="7">
        <v>2282538</v>
      </c>
      <c r="AG9" s="7" t="s">
        <v>250</v>
      </c>
      <c r="AH9" s="7" t="s">
        <v>251</v>
      </c>
      <c r="AI9" s="7" t="s">
        <v>252</v>
      </c>
      <c r="AJ9" s="7" t="s">
        <v>59</v>
      </c>
      <c r="AK9" s="8">
        <v>40343</v>
      </c>
      <c r="AL9" s="7" t="s">
        <v>253</v>
      </c>
      <c r="AM9" s="7" t="s">
        <v>54</v>
      </c>
      <c r="AU9" s="7" t="s">
        <v>254</v>
      </c>
    </row>
    <row r="10" spans="1:47" x14ac:dyDescent="0.2">
      <c r="A10" s="6">
        <v>46065.346729571756</v>
      </c>
      <c r="B10" s="7" t="s">
        <v>255</v>
      </c>
      <c r="D10" s="7" t="s">
        <v>256</v>
      </c>
      <c r="E10" s="7" t="s">
        <v>71</v>
      </c>
      <c r="F10" s="7" t="s">
        <v>257</v>
      </c>
      <c r="G10" s="7" t="s">
        <v>258</v>
      </c>
      <c r="H10" s="7" t="s">
        <v>51</v>
      </c>
      <c r="I10" s="7">
        <v>8180889179</v>
      </c>
      <c r="J10" s="7" t="s">
        <v>259</v>
      </c>
      <c r="K10" s="7">
        <v>2203980</v>
      </c>
      <c r="L10" s="7" t="s">
        <v>260</v>
      </c>
      <c r="M10" s="7" t="s">
        <v>261</v>
      </c>
      <c r="N10" s="7" t="s">
        <v>262</v>
      </c>
      <c r="O10" s="7" t="s">
        <v>131</v>
      </c>
      <c r="P10" s="8">
        <v>39569</v>
      </c>
      <c r="Q10" s="7" t="s">
        <v>263</v>
      </c>
      <c r="R10" s="7">
        <v>2311083</v>
      </c>
      <c r="S10" s="7" t="s">
        <v>264</v>
      </c>
      <c r="T10" s="7" t="s">
        <v>265</v>
      </c>
      <c r="U10" s="7" t="s">
        <v>266</v>
      </c>
      <c r="V10" s="7" t="s">
        <v>59</v>
      </c>
      <c r="W10" s="8">
        <v>40435</v>
      </c>
      <c r="X10" s="7" t="s">
        <v>267</v>
      </c>
      <c r="Y10" s="7">
        <v>2311109</v>
      </c>
      <c r="Z10" s="7" t="s">
        <v>268</v>
      </c>
      <c r="AA10" s="7" t="s">
        <v>138</v>
      </c>
      <c r="AB10" s="7" t="s">
        <v>269</v>
      </c>
      <c r="AC10" s="7" t="s">
        <v>59</v>
      </c>
      <c r="AD10" s="8">
        <v>40255</v>
      </c>
      <c r="AE10" s="7" t="s">
        <v>270</v>
      </c>
      <c r="AF10" s="7">
        <v>2310886</v>
      </c>
      <c r="AG10" s="7" t="s">
        <v>271</v>
      </c>
      <c r="AH10" s="7" t="s">
        <v>272</v>
      </c>
      <c r="AI10" s="7" t="s">
        <v>273</v>
      </c>
      <c r="AJ10" s="7" t="s">
        <v>59</v>
      </c>
      <c r="AK10" s="8">
        <v>40432</v>
      </c>
      <c r="AL10" s="7" t="s">
        <v>274</v>
      </c>
      <c r="AM10" s="7" t="s">
        <v>54</v>
      </c>
      <c r="AU10" s="7" t="s">
        <v>275</v>
      </c>
    </row>
    <row r="11" spans="1:47" x14ac:dyDescent="0.2">
      <c r="A11" s="6">
        <v>46065.350905219908</v>
      </c>
      <c r="B11" s="7" t="s">
        <v>255</v>
      </c>
      <c r="D11" s="7" t="s">
        <v>276</v>
      </c>
      <c r="E11" s="7" t="s">
        <v>47</v>
      </c>
      <c r="F11" s="7" t="s">
        <v>257</v>
      </c>
      <c r="G11" s="7" t="s">
        <v>258</v>
      </c>
      <c r="H11" s="7" t="s">
        <v>51</v>
      </c>
      <c r="I11" s="7">
        <v>8180889179</v>
      </c>
      <c r="J11" s="7" t="s">
        <v>259</v>
      </c>
      <c r="K11" s="7">
        <v>2204196</v>
      </c>
      <c r="L11" s="7" t="s">
        <v>277</v>
      </c>
      <c r="M11" s="7" t="s">
        <v>68</v>
      </c>
      <c r="N11" s="7" t="s">
        <v>278</v>
      </c>
      <c r="O11" s="7" t="s">
        <v>131</v>
      </c>
      <c r="P11" s="8">
        <v>39603</v>
      </c>
      <c r="Q11" s="7" t="s">
        <v>279</v>
      </c>
      <c r="R11" s="7">
        <v>2203806</v>
      </c>
      <c r="S11" s="7" t="s">
        <v>65</v>
      </c>
      <c r="T11" s="7" t="s">
        <v>280</v>
      </c>
      <c r="U11" s="7" t="s">
        <v>281</v>
      </c>
      <c r="V11" s="7" t="s">
        <v>131</v>
      </c>
      <c r="W11" s="8">
        <v>39481</v>
      </c>
      <c r="X11" s="7" t="s">
        <v>282</v>
      </c>
      <c r="Y11" s="7">
        <v>2203988</v>
      </c>
      <c r="Z11" s="7" t="s">
        <v>123</v>
      </c>
      <c r="AA11" s="7" t="s">
        <v>271</v>
      </c>
      <c r="AB11" s="7" t="s">
        <v>283</v>
      </c>
      <c r="AC11" s="7" t="s">
        <v>131</v>
      </c>
      <c r="AD11" s="8">
        <v>39730</v>
      </c>
      <c r="AE11" s="7" t="s">
        <v>284</v>
      </c>
      <c r="AF11" s="7">
        <v>2311158</v>
      </c>
      <c r="AG11" s="7" t="s">
        <v>285</v>
      </c>
      <c r="AH11" s="7" t="s">
        <v>286</v>
      </c>
      <c r="AI11" s="7" t="s">
        <v>287</v>
      </c>
      <c r="AJ11" s="7" t="s">
        <v>59</v>
      </c>
      <c r="AK11" s="8">
        <v>40361</v>
      </c>
      <c r="AL11" s="7" t="s">
        <v>288</v>
      </c>
      <c r="AM11" s="7" t="s">
        <v>54</v>
      </c>
      <c r="AU11" s="7" t="s">
        <v>289</v>
      </c>
    </row>
    <row r="12" spans="1:47" x14ac:dyDescent="0.2">
      <c r="A12" s="6">
        <v>46065.362685763888</v>
      </c>
      <c r="B12" s="7" t="s">
        <v>255</v>
      </c>
      <c r="D12" s="7" t="s">
        <v>290</v>
      </c>
      <c r="E12" s="7" t="s">
        <v>55</v>
      </c>
      <c r="F12" s="7" t="s">
        <v>291</v>
      </c>
      <c r="G12" s="7" t="s">
        <v>122</v>
      </c>
      <c r="H12" s="7" t="s">
        <v>292</v>
      </c>
      <c r="I12" s="7">
        <v>8116013233</v>
      </c>
      <c r="J12" s="7" t="s">
        <v>293</v>
      </c>
      <c r="K12" s="7">
        <v>2260899</v>
      </c>
      <c r="L12" s="7" t="s">
        <v>294</v>
      </c>
      <c r="M12" s="7" t="s">
        <v>126</v>
      </c>
      <c r="N12" s="7" t="s">
        <v>295</v>
      </c>
      <c r="O12" s="7" t="s">
        <v>52</v>
      </c>
      <c r="P12" s="8">
        <v>39973</v>
      </c>
      <c r="Q12" s="7" t="s">
        <v>296</v>
      </c>
      <c r="R12" s="7">
        <v>2260905</v>
      </c>
      <c r="S12" s="7" t="s">
        <v>297</v>
      </c>
      <c r="T12" s="7" t="s">
        <v>57</v>
      </c>
      <c r="U12" s="7" t="s">
        <v>298</v>
      </c>
      <c r="V12" s="7" t="s">
        <v>52</v>
      </c>
      <c r="W12" s="8">
        <v>40016</v>
      </c>
      <c r="X12" s="7" t="s">
        <v>299</v>
      </c>
      <c r="Y12" s="7">
        <v>2260827</v>
      </c>
      <c r="Z12" s="7" t="s">
        <v>126</v>
      </c>
      <c r="AA12" s="7" t="s">
        <v>65</v>
      </c>
      <c r="AB12" s="7" t="s">
        <v>300</v>
      </c>
      <c r="AC12" s="7" t="s">
        <v>52</v>
      </c>
      <c r="AD12" s="8">
        <v>40163</v>
      </c>
      <c r="AE12" s="7" t="s">
        <v>301</v>
      </c>
      <c r="AF12" s="7">
        <v>2311249</v>
      </c>
      <c r="AG12" s="7" t="s">
        <v>229</v>
      </c>
      <c r="AH12" s="7" t="s">
        <v>200</v>
      </c>
      <c r="AI12" s="7" t="s">
        <v>302</v>
      </c>
      <c r="AJ12" s="7" t="s">
        <v>59</v>
      </c>
      <c r="AK12" s="8">
        <v>40270</v>
      </c>
      <c r="AL12" s="7" t="s">
        <v>303</v>
      </c>
      <c r="AM12" s="7" t="s">
        <v>60</v>
      </c>
      <c r="AN12" s="7">
        <v>2311205</v>
      </c>
      <c r="AO12" s="7" t="s">
        <v>67</v>
      </c>
      <c r="AP12" s="7" t="s">
        <v>304</v>
      </c>
      <c r="AQ12" s="7" t="s">
        <v>305</v>
      </c>
      <c r="AR12" s="7" t="s">
        <v>59</v>
      </c>
      <c r="AS12" s="8">
        <v>40524</v>
      </c>
      <c r="AT12" s="7" t="s">
        <v>306</v>
      </c>
      <c r="AU12" s="7" t="s">
        <v>307</v>
      </c>
    </row>
    <row r="13" spans="1:47" x14ac:dyDescent="0.2">
      <c r="A13" s="6">
        <v>46064.644861875</v>
      </c>
      <c r="B13" s="7" t="s">
        <v>124</v>
      </c>
      <c r="D13" s="7" t="s">
        <v>308</v>
      </c>
      <c r="E13" s="7" t="s">
        <v>55</v>
      </c>
      <c r="F13" s="7" t="s">
        <v>309</v>
      </c>
      <c r="G13" s="7" t="s">
        <v>114</v>
      </c>
      <c r="H13" s="7" t="s">
        <v>126</v>
      </c>
      <c r="I13" s="7">
        <v>8112698855</v>
      </c>
      <c r="J13" s="7" t="s">
        <v>127</v>
      </c>
      <c r="K13" s="7">
        <v>2246494</v>
      </c>
      <c r="L13" s="7" t="s">
        <v>310</v>
      </c>
      <c r="M13" s="7" t="s">
        <v>311</v>
      </c>
      <c r="N13" s="7" t="s">
        <v>312</v>
      </c>
      <c r="O13" s="7" t="s">
        <v>52</v>
      </c>
      <c r="P13" s="8">
        <v>39911</v>
      </c>
      <c r="Q13" s="7" t="s">
        <v>313</v>
      </c>
      <c r="R13" s="7">
        <v>2246376</v>
      </c>
      <c r="S13" s="7" t="s">
        <v>314</v>
      </c>
      <c r="T13" s="7" t="s">
        <v>315</v>
      </c>
      <c r="U13" s="7" t="s">
        <v>316</v>
      </c>
      <c r="V13" s="7" t="s">
        <v>52</v>
      </c>
      <c r="W13" s="8">
        <v>39818</v>
      </c>
      <c r="X13" s="7" t="s">
        <v>317</v>
      </c>
      <c r="Y13" s="7">
        <v>2184652</v>
      </c>
      <c r="Z13" s="7" t="s">
        <v>318</v>
      </c>
      <c r="AA13" s="7" t="s">
        <v>319</v>
      </c>
      <c r="AB13" s="7" t="s">
        <v>320</v>
      </c>
      <c r="AC13" s="7" t="s">
        <v>131</v>
      </c>
      <c r="AD13" s="8">
        <v>39758</v>
      </c>
      <c r="AE13" s="7" t="s">
        <v>321</v>
      </c>
      <c r="AF13" s="7">
        <v>2305317</v>
      </c>
      <c r="AG13" s="7" t="s">
        <v>322</v>
      </c>
      <c r="AH13" s="7" t="s">
        <v>323</v>
      </c>
      <c r="AI13" s="7" t="s">
        <v>324</v>
      </c>
      <c r="AJ13" s="7" t="s">
        <v>59</v>
      </c>
      <c r="AK13" s="8">
        <v>40469</v>
      </c>
      <c r="AL13" s="7" t="s">
        <v>325</v>
      </c>
      <c r="AM13" s="7" t="s">
        <v>60</v>
      </c>
      <c r="AN13" s="7">
        <v>2305939</v>
      </c>
      <c r="AO13" s="7" t="s">
        <v>326</v>
      </c>
      <c r="AP13" s="7" t="s">
        <v>327</v>
      </c>
      <c r="AQ13" s="7" t="s">
        <v>328</v>
      </c>
      <c r="AR13" s="7" t="s">
        <v>59</v>
      </c>
      <c r="AS13" s="8">
        <v>40247</v>
      </c>
      <c r="AT13" s="7" t="s">
        <v>329</v>
      </c>
      <c r="AU13" s="7" t="s">
        <v>330</v>
      </c>
    </row>
    <row r="14" spans="1:47" x14ac:dyDescent="0.2">
      <c r="A14" s="6">
        <v>46064.647735729166</v>
      </c>
      <c r="B14" s="7" t="s">
        <v>124</v>
      </c>
      <c r="D14" s="7" t="s">
        <v>331</v>
      </c>
      <c r="E14" s="7" t="s">
        <v>71</v>
      </c>
      <c r="F14" s="7" t="s">
        <v>125</v>
      </c>
      <c r="G14" s="7" t="s">
        <v>114</v>
      </c>
      <c r="H14" s="7" t="s">
        <v>126</v>
      </c>
      <c r="I14" s="7">
        <v>8112698855</v>
      </c>
      <c r="J14" s="7" t="s">
        <v>127</v>
      </c>
      <c r="K14" s="7">
        <v>2184367</v>
      </c>
      <c r="L14" s="7" t="s">
        <v>332</v>
      </c>
      <c r="M14" s="7" t="s">
        <v>80</v>
      </c>
      <c r="N14" s="7" t="s">
        <v>333</v>
      </c>
      <c r="O14" s="7" t="s">
        <v>131</v>
      </c>
      <c r="P14" s="8">
        <v>39572</v>
      </c>
      <c r="Q14" s="7" t="s">
        <v>334</v>
      </c>
      <c r="R14" s="7">
        <v>2305793</v>
      </c>
      <c r="S14" s="7" t="s">
        <v>335</v>
      </c>
      <c r="T14" s="7" t="s">
        <v>336</v>
      </c>
      <c r="U14" s="7" t="s">
        <v>337</v>
      </c>
      <c r="V14" s="7" t="s">
        <v>59</v>
      </c>
      <c r="W14" s="8">
        <v>40243</v>
      </c>
      <c r="X14" s="7" t="s">
        <v>338</v>
      </c>
      <c r="Y14" s="7">
        <v>2305379</v>
      </c>
      <c r="Z14" s="7" t="s">
        <v>339</v>
      </c>
      <c r="AA14" s="7" t="s">
        <v>339</v>
      </c>
      <c r="AB14" s="7" t="s">
        <v>340</v>
      </c>
      <c r="AC14" s="7" t="s">
        <v>59</v>
      </c>
      <c r="AD14" s="8">
        <v>40405</v>
      </c>
      <c r="AE14" s="7" t="s">
        <v>341</v>
      </c>
      <c r="AF14" s="7">
        <v>2305698</v>
      </c>
      <c r="AG14" s="7" t="s">
        <v>342</v>
      </c>
      <c r="AH14" s="7" t="s">
        <v>343</v>
      </c>
      <c r="AI14" s="7" t="s">
        <v>344</v>
      </c>
      <c r="AJ14" s="7" t="s">
        <v>59</v>
      </c>
      <c r="AK14" s="8">
        <v>40366</v>
      </c>
      <c r="AL14" s="7" t="s">
        <v>345</v>
      </c>
      <c r="AM14" s="7" t="s">
        <v>54</v>
      </c>
      <c r="AU14" s="7" t="s">
        <v>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sqref="A1:C30"/>
    </sheetView>
  </sheetViews>
  <sheetFormatPr baseColWidth="10" defaultRowHeight="12.75" x14ac:dyDescent="0.2"/>
  <sheetData>
    <row r="1" spans="1:3" x14ac:dyDescent="0.2">
      <c r="A1" t="s">
        <v>434</v>
      </c>
      <c r="B1" t="s">
        <v>435</v>
      </c>
      <c r="C1" t="s">
        <v>418</v>
      </c>
    </row>
    <row r="2" spans="1:3" x14ac:dyDescent="0.2">
      <c r="A2" t="s">
        <v>349</v>
      </c>
      <c r="B2" t="s">
        <v>350</v>
      </c>
      <c r="C2" t="s">
        <v>120</v>
      </c>
    </row>
    <row r="3" spans="1:3" x14ac:dyDescent="0.2">
      <c r="A3" t="s">
        <v>382</v>
      </c>
      <c r="B3" t="s">
        <v>376</v>
      </c>
      <c r="C3" t="s">
        <v>200</v>
      </c>
    </row>
    <row r="4" spans="1:3" x14ac:dyDescent="0.2">
      <c r="A4" t="s">
        <v>408</v>
      </c>
      <c r="B4" t="s">
        <v>409</v>
      </c>
      <c r="C4" t="s">
        <v>65</v>
      </c>
    </row>
    <row r="5" spans="1:3" x14ac:dyDescent="0.2">
      <c r="A5" t="s">
        <v>397</v>
      </c>
      <c r="B5" t="s">
        <v>398</v>
      </c>
      <c r="C5" t="s">
        <v>138</v>
      </c>
    </row>
    <row r="6" spans="1:3" x14ac:dyDescent="0.2">
      <c r="A6" t="s">
        <v>399</v>
      </c>
      <c r="B6" t="s">
        <v>403</v>
      </c>
      <c r="C6" t="s">
        <v>404</v>
      </c>
    </row>
    <row r="7" spans="1:3" x14ac:dyDescent="0.2">
      <c r="A7" t="s">
        <v>405</v>
      </c>
      <c r="B7" t="s">
        <v>53</v>
      </c>
      <c r="C7" t="s">
        <v>406</v>
      </c>
    </row>
    <row r="8" spans="1:3" x14ac:dyDescent="0.2">
      <c r="A8" t="s">
        <v>136</v>
      </c>
      <c r="B8" t="s">
        <v>137</v>
      </c>
      <c r="C8" t="s">
        <v>67</v>
      </c>
    </row>
    <row r="9" spans="1:3" x14ac:dyDescent="0.2">
      <c r="A9" t="s">
        <v>79</v>
      </c>
      <c r="B9" t="s">
        <v>80</v>
      </c>
      <c r="C9" t="s">
        <v>81</v>
      </c>
    </row>
    <row r="10" spans="1:3" x14ac:dyDescent="0.2">
      <c r="A10" t="s">
        <v>161</v>
      </c>
      <c r="B10" t="s">
        <v>162</v>
      </c>
      <c r="C10" t="s">
        <v>126</v>
      </c>
    </row>
    <row r="11" spans="1:3" x14ac:dyDescent="0.2">
      <c r="A11" t="s">
        <v>178</v>
      </c>
      <c r="B11" t="s">
        <v>179</v>
      </c>
      <c r="C11" t="s">
        <v>180</v>
      </c>
    </row>
    <row r="12" spans="1:3" x14ac:dyDescent="0.2">
      <c r="A12" t="s">
        <v>412</v>
      </c>
      <c r="B12" t="s">
        <v>147</v>
      </c>
      <c r="C12" t="s">
        <v>76</v>
      </c>
    </row>
    <row r="13" spans="1:3" x14ac:dyDescent="0.2">
      <c r="A13" t="s">
        <v>198</v>
      </c>
      <c r="B13" t="s">
        <v>199</v>
      </c>
      <c r="C13" t="s">
        <v>200</v>
      </c>
    </row>
    <row r="14" spans="1:3" x14ac:dyDescent="0.2">
      <c r="A14" t="s">
        <v>291</v>
      </c>
      <c r="B14" t="s">
        <v>122</v>
      </c>
      <c r="C14" t="s">
        <v>292</v>
      </c>
    </row>
    <row r="15" spans="1:3" x14ac:dyDescent="0.2">
      <c r="A15" t="s">
        <v>257</v>
      </c>
      <c r="B15" t="s">
        <v>258</v>
      </c>
      <c r="C15" t="s">
        <v>51</v>
      </c>
    </row>
    <row r="16" spans="1:3" x14ac:dyDescent="0.2">
      <c r="A16" t="s">
        <v>62</v>
      </c>
      <c r="B16" t="s">
        <v>63</v>
      </c>
      <c r="C16" t="s">
        <v>64</v>
      </c>
    </row>
    <row r="17" spans="1:3" x14ac:dyDescent="0.2">
      <c r="A17" t="s">
        <v>56</v>
      </c>
      <c r="B17" t="s">
        <v>49</v>
      </c>
      <c r="C17" t="s">
        <v>57</v>
      </c>
    </row>
    <row r="18" spans="1:3" x14ac:dyDescent="0.2">
      <c r="A18" t="s">
        <v>48</v>
      </c>
      <c r="B18" t="s">
        <v>49</v>
      </c>
      <c r="C18" t="s">
        <v>50</v>
      </c>
    </row>
    <row r="19" spans="1:3" x14ac:dyDescent="0.2">
      <c r="A19" t="s">
        <v>72</v>
      </c>
      <c r="B19" t="s">
        <v>73</v>
      </c>
      <c r="C19" t="s">
        <v>74</v>
      </c>
    </row>
    <row r="20" spans="1:3" x14ac:dyDescent="0.2">
      <c r="A20" t="s">
        <v>309</v>
      </c>
      <c r="B20" t="s">
        <v>114</v>
      </c>
      <c r="C20" t="s">
        <v>126</v>
      </c>
    </row>
    <row r="21" spans="1:3" x14ac:dyDescent="0.2">
      <c r="A21" t="s">
        <v>370</v>
      </c>
      <c r="B21" t="s">
        <v>371</v>
      </c>
      <c r="C21" t="s">
        <v>372</v>
      </c>
    </row>
    <row r="22" spans="1:3" x14ac:dyDescent="0.2">
      <c r="A22" t="s">
        <v>407</v>
      </c>
      <c r="B22" t="s">
        <v>66</v>
      </c>
      <c r="C22" t="s">
        <v>66</v>
      </c>
    </row>
    <row r="23" spans="1:3" x14ac:dyDescent="0.2">
      <c r="A23" t="s">
        <v>402</v>
      </c>
      <c r="B23" t="s">
        <v>53</v>
      </c>
      <c r="C23" t="s">
        <v>384</v>
      </c>
    </row>
    <row r="24" spans="1:3" x14ac:dyDescent="0.2">
      <c r="A24" t="s">
        <v>400</v>
      </c>
      <c r="B24" t="s">
        <v>123</v>
      </c>
      <c r="C24" t="s">
        <v>171</v>
      </c>
    </row>
    <row r="25" spans="1:3" x14ac:dyDescent="0.2">
      <c r="A25" t="s">
        <v>410</v>
      </c>
      <c r="B25" t="s">
        <v>411</v>
      </c>
      <c r="C25" t="s">
        <v>126</v>
      </c>
    </row>
    <row r="26" spans="1:3" x14ac:dyDescent="0.2">
      <c r="A26" t="s">
        <v>118</v>
      </c>
      <c r="B26" t="s">
        <v>119</v>
      </c>
      <c r="C26" t="s">
        <v>120</v>
      </c>
    </row>
    <row r="27" spans="1:3" x14ac:dyDescent="0.2">
      <c r="A27" t="s">
        <v>374</v>
      </c>
      <c r="B27" t="s">
        <v>368</v>
      </c>
      <c r="C27" t="s">
        <v>369</v>
      </c>
    </row>
    <row r="28" spans="1:3" x14ac:dyDescent="0.2">
      <c r="A28" t="s">
        <v>373</v>
      </c>
      <c r="B28" t="s">
        <v>137</v>
      </c>
      <c r="C28" t="s">
        <v>61</v>
      </c>
    </row>
    <row r="29" spans="1:3" x14ac:dyDescent="0.2">
      <c r="A29" t="s">
        <v>367</v>
      </c>
      <c r="B29" t="s">
        <v>327</v>
      </c>
      <c r="C29" t="s">
        <v>343</v>
      </c>
    </row>
    <row r="30" spans="1:3" x14ac:dyDescent="0.2">
      <c r="A30" t="s">
        <v>132</v>
      </c>
      <c r="B30" t="s">
        <v>133</v>
      </c>
      <c r="C30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Respuestas de formulario 1</vt:lpstr>
      <vt:lpstr>Hoja 1</vt:lpstr>
      <vt:lpstr>Hoja 2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Esteban Balderrabano Ortega</cp:lastModifiedBy>
  <dcterms:modified xsi:type="dcterms:W3CDTF">2026-02-19T15:24:06Z</dcterms:modified>
</cp:coreProperties>
</file>